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097f85dfa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isez-moi" sheetId="1" r:id="R48da6ffd17ab458b"/>
    <x:sheet xmlns:r="http://schemas.openxmlformats.org/officeDocument/2006/relationships" name="01_Paramètres" sheetId="2" r:id="R4a7b12a945054679"/>
    <x:sheet xmlns:r="http://schemas.openxmlformats.org/officeDocument/2006/relationships" name="02_Scénarios" sheetId="3" r:id="Rca211b95534446c6"/>
    <x:sheet xmlns:r="http://schemas.openxmlformats.org/officeDocument/2006/relationships" name="03_Plan_Comptable" sheetId="4" r:id="R009dfa5aac9e41e7"/>
    <x:sheet xmlns:r="http://schemas.openxmlformats.org/officeDocument/2006/relationships" name="04_Revenus" sheetId="5" r:id="Rc1202849783f4aef"/>
    <x:sheet xmlns:r="http://schemas.openxmlformats.org/officeDocument/2006/relationships" name="05_OPEX" sheetId="6" r:id="R4443cdb9fbe24082"/>
    <x:sheet xmlns:r="http://schemas.openxmlformats.org/officeDocument/2006/relationships" name="06_RH" sheetId="7" r:id="R8ee89cb528564fc1"/>
    <x:sheet xmlns:r="http://schemas.openxmlformats.org/officeDocument/2006/relationships" name="07_CAPEX" sheetId="8" r:id="Rf15617e07547441f"/>
    <x:sheet xmlns:r="http://schemas.openxmlformats.org/officeDocument/2006/relationships" name="08_BFR_Trésorerie" sheetId="9" r:id="R085fa66804a54e8f"/>
    <x:sheet xmlns:r="http://schemas.openxmlformats.org/officeDocument/2006/relationships" name="09_P&amp;L" sheetId="10" r:id="R76213ea3f5a4405f"/>
    <x:sheet xmlns:r="http://schemas.openxmlformats.org/officeDocument/2006/relationships" name="10_Analyse_Ecarts" sheetId="11" r:id="Re24d49d084574bcd"/>
    <x:sheet xmlns:r="http://schemas.openxmlformats.org/officeDocument/2006/relationships" name="11_Cockpit" sheetId="12" r:id="R36917935cf5642fd"/>
    <x:sheet xmlns:r="http://schemas.openxmlformats.org/officeDocument/2006/relationships" name="12_Audit_L99" sheetId="13" r:id="Rc46853da754847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[Red](0.0%);-"/>
    <x:numFmt numFmtId="201" formatCode="0.00"/>
    <x:numFmt numFmtId="202" formatCode="0.00x"/>
    <x:numFmt numFmtId="203" formatCode="#,##0;[Red](#,##0);-"/>
    <x:numFmt numFmtId="204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6">
    <x:border/>
    <x:border/>
    <x:border>
      <x:bottom style="thin">
        <x:color rgb="FF9EADBA"/>
      </x:bottom>
    </x:border>
    <x:border>
      <x:bottom style="thin">
        <x:color rgb="FF9EADBA"/>
      </x:bottom>
    </x:border>
    <x:border>
      <x:top style="thin">
        <x:color rgb="FF17365D"/>
      </x:top>
    </x:border>
    <x:border>
      <x:top style="thin">
        <x:color rgb="FF17365D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2" fontId="3" fillId="4" borderId="0" xfId="0" applyNumberFormat="1" applyFont="1" applyFill="1" applyBorder="1"/>
    <x:xf numFmtId="202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1" xfId="0" applyNumberFormat="1" applyFont="1" applyFill="1" applyBorder="1"/>
    <x:xf numFmtId="0" fontId="6" fillId="0" borderId="5" xfId="0" applyNumberFormat="1" applyFont="1" applyFill="1" applyBorder="1"/>
    <x:xf numFmtId="203" fontId="3" fillId="4" borderId="0" xfId="0" applyNumberFormat="1" applyFont="1" applyFill="1" applyBorder="1"/>
    <x:xf numFmtId="203" fontId="5" fillId="0" borderId="0" xfId="0" applyNumberFormat="1" applyFont="1" applyFill="1" applyBorder="1"/>
    <x:xf numFmtId="203" fontId="0" fillId="0" borderId="0" xfId="0" applyNumberFormat="1" applyFont="1" applyFill="1" applyBorder="1"/>
    <x:xf numFmtId="203" fontId="6" fillId="0" borderId="4" xfId="0" applyNumberFormat="1" applyFont="1" applyFill="1" applyBorder="1"/>
    <x:xf numFmtId="203" fontId="3" fillId="4" borderId="1" xfId="0" applyNumberFormat="1" applyFont="1" applyFill="1" applyBorder="1"/>
    <x:xf numFmtId="203" fontId="5" fillId="0" borderId="1" xfId="0" applyNumberFormat="1" applyFont="1" applyFill="1" applyBorder="1"/>
    <x:xf numFmtId="203" fontId="0" fillId="0" borderId="1" xfId="0" applyNumberFormat="1" applyFont="1" applyFill="1" applyBorder="1"/>
    <x:xf numFmtId="203" fontId="6" fillId="0" borderId="5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0" fontId="0" fillId="0" borderId="0" xfId="0" applyNumberFormat="1" applyFont="1" applyFill="1" applyBorder="1"/>
    <x:xf numFmtId="204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16c98125f441a5" /><Relationship Type="http://schemas.openxmlformats.org/officeDocument/2006/relationships/theme" Target="/xl/theme/theme1.xml" Id="R3698162bafab4946" /><Relationship Type="http://schemas.openxmlformats.org/officeDocument/2006/relationships/sharedStrings" Target="/xl/sharedStrings.xml" Id="R93be65c33bbb480a" /><Relationship Type="http://schemas.openxmlformats.org/officeDocument/2006/relationships/worksheet" Target="/xl/worksheets/sheet1.xml" Id="R48da6ffd17ab458b" /><Relationship Type="http://schemas.openxmlformats.org/officeDocument/2006/relationships/worksheet" Target="/xl/worksheets/sheet2.xml" Id="R4a7b12a945054679" /><Relationship Type="http://schemas.openxmlformats.org/officeDocument/2006/relationships/worksheet" Target="/xl/worksheets/sheet3.xml" Id="Rca211b95534446c6" /><Relationship Type="http://schemas.openxmlformats.org/officeDocument/2006/relationships/worksheet" Target="/xl/worksheets/sheet4.xml" Id="R009dfa5aac9e41e7" /><Relationship Type="http://schemas.openxmlformats.org/officeDocument/2006/relationships/worksheet" Target="/xl/worksheets/sheet5.xml" Id="Rc1202849783f4aef" /><Relationship Type="http://schemas.openxmlformats.org/officeDocument/2006/relationships/worksheet" Target="/xl/worksheets/sheet6.xml" Id="R4443cdb9fbe24082" /><Relationship Type="http://schemas.openxmlformats.org/officeDocument/2006/relationships/worksheet" Target="/xl/worksheets/sheet7.xml" Id="R8ee89cb528564fc1" /><Relationship Type="http://schemas.openxmlformats.org/officeDocument/2006/relationships/worksheet" Target="/xl/worksheets/sheet8.xml" Id="Rf15617e07547441f" /><Relationship Type="http://schemas.openxmlformats.org/officeDocument/2006/relationships/worksheet" Target="/xl/worksheets/sheet9.xml" Id="R085fa66804a54e8f" /><Relationship Type="http://schemas.openxmlformats.org/officeDocument/2006/relationships/worksheet" Target="/xl/worksheets/sheet10.xml" Id="R76213ea3f5a4405f" /><Relationship Type="http://schemas.openxmlformats.org/officeDocument/2006/relationships/worksheet" Target="/xl/worksheets/sheet11.xml" Id="Re24d49d084574bcd" /><Relationship Type="http://schemas.openxmlformats.org/officeDocument/2006/relationships/worksheet" Target="/xl/worksheets/sheet12.xml" Id="R36917935cf5642fd" /><Relationship Type="http://schemas.openxmlformats.org/officeDocument/2006/relationships/worksheet" Target="/xl/worksheets/sheet13.xml" Id="Rc46853da754847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caa551bb5b474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CA</c:v>
          </c:tx>
          <c:cat>
            <c:strRef>
              <c:f>'11_Cockpit'!$B$15:$M$15</c:f>
              <c:strCache>
                <c:ptCount val="0"/>
              </c:strCache>
            </c:strRef>
          </c:cat>
          <c:val>
            <c:numRef>
              <c:f>'11_Cockpit'!$B$16:$M$16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cat>
            <c:strRef>
              <c:f>'11_Cockpit'!$B$15:$M$15</c:f>
              <c:strCache>
                <c:ptCount val="0"/>
              </c:strCache>
            </c:strRef>
          </c:cat>
          <c:val>
            <c:numRef>
              <c:f>'11_Cockpit'!$B$17:$M$17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Résultat net</c:v>
          </c:tx>
          <c:cat>
            <c:strRef>
              <c:f>'11_Cockpit'!$B$15:$M$15</c:f>
              <c:strCache>
                <c:ptCount val="0"/>
              </c:strCache>
            </c:strRef>
          </c:cat>
          <c:val>
            <c:numRef>
              <c:f>'11_Cockpit'!$B$18:$M$18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caa551bb5b474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86dfc24929b546c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 ht="28" customHeight="1">
      <x:c r="A1" s="5" t="str">
        <x:v>BUDGET &amp; PERFORMANCE MANAGEMENT — MAROC | V2 L99</x:v>
      </x:c>
    </x:row>
    <x:row r="3">
      <x:c r="A3" s="10" t="str">
        <x:v>Objet</x:v>
      </x:c>
      <x:c r="B3" s="12" t="str">
        <x:v>Modèle intégré de budget, forecast et pilotage de performance adapté à une PME/ETI au Maroc</x:v>
      </x:c>
    </x:row>
    <x:row r="4">
      <x:c r="A4" s="10" t="str">
        <x:v>Logique</x:v>
      </x:c>
      <x:c r="B4" s="12" t="str">
        <x:v>Inputs → Drivers → Budget mensuel → BFR/Trésorerie → P&amp;L → Cockpit → Écarts</x:v>
      </x:c>
    </x:row>
    <x:row r="5">
      <x:c r="A5" s="10" t="str">
        <x:v>Couleurs</x:v>
      </x:c>
      <x:c r="B5" s="12" t="str">
        <x:v>Bleu = saisie / hypothèses ; Vert = lien inter-onglet ; Noir = calcul ; Jaune = paramètre à valider</x:v>
      </x:c>
    </x:row>
    <x:row r="6">
      <x:c r="A6" s="10" t="str">
        <x:v>Scénarios</x:v>
      </x:c>
      <x:c r="B6" s="12" t="str">
        <x:v>Prudent / Central / Ambitieux, pilotés depuis 02_Scénarios</x:v>
      </x:c>
    </x:row>
    <x:row r="7">
      <x:c r="A7" s="10" t="str">
        <x:v>Monnaie</x:v>
      </x:c>
      <x:c r="B7" s="12" t="str">
        <x:v>MAD par défaut ; EUR et USD disponibles comme hypothèses FX</x:v>
      </x:c>
    </x:row>
    <x:row r="8">
      <x:c r="A8" s="10" t="str">
        <x:v>Important</x:v>
      </x:c>
      <x:c r="B8" s="12" t="str">
        <x:v>Les paramètres fiscaux et sociaux sont des hypothèses de travail à confirmer avec l’expert-comptable / conseil de l’entreprise.</x:v>
      </x:c>
    </x:row>
    <x:row r="9">
      <x:c r="A9" s="10" t="str">
        <x:v>Usage recommandé</x:v>
      </x:c>
      <x:c r="B9" s="12" t="str">
        <x:v>1. Paramètres  2. Scénarios  3. Revenus  4. OPEX/RH/CAPEX  5. BFR  6. Cockpit</x:v>
      </x:c>
    </x:row>
    <x:row r="10">
      <x:c r="A10" s="10" t="str">
        <x:v>Exercice</x:v>
      </x:c>
      <x:c r="B10" s="12" t="str">
        <x:v>Le modèle est préconfiguré pour un budget 2027, modifiable dans 01_Paramètres.</x:v>
      </x:c>
    </x:row>
    <x:row r="11">
      <x:c r="A11" s="10" t="str">
        <x:v>Audit</x:v>
      </x:c>
      <x:c r="B11" s="12" t="str">
        <x:v>12_Audit_L99 documente les faiblesses de l’original et les corrections apportées.</x:v>
      </x:c>
    </x:row>
    <x:row r="12">
      <x:c r="A12" s="10" t="str">
        <x:v>Version</x:v>
      </x:c>
      <x:c r="B12" s="12" t="str">
        <x:v>V2 L99 — reconstruction structurelle, non simple traduction du fichier source</x:v>
      </x:c>
    </x:row>
  </x:sheetData>
  <x:mergeCells>
    <x:mergeCell ref="A1:L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54" hidden="0" customWidth="1"/>
    <x:col min="6" max="6" width="24" hidden="0" customWidth="1"/>
  </x:cols>
  <x:sheetData>
    <x:row r="1" ht="28" customHeight="1">
      <x:c r="A1" s="5" t="str">
        <x:v>01 — PARAMÈTRES GÉNÉRAUX</x:v>
      </x:c>
    </x:row>
    <x:row r="3">
      <x:c r="A3" s="19" t="str">
        <x:v>Paramètre</x:v>
      </x:c>
      <x:c r="B3" s="19" t="str">
        <x:v>Valeur</x:v>
      </x:c>
      <x:c r="C3" s="19" t="str">
        <x:v>Unité</x:v>
      </x:c>
      <x:c r="D3" s="19" t="str">
        <x:v>Statut</x:v>
      </x:c>
      <x:c r="E3" s="19" t="str">
        <x:v>Commentaire</x:v>
      </x:c>
      <x:c r="F3" s="19" t="str">
        <x:v>Source / validation</x:v>
      </x:c>
    </x:row>
    <x:row r="4">
      <x:c r="A4" t="str">
        <x:v>Exercice budgétaire</x:v>
      </x:c>
      <x:c r="B4" s="27" t="n">
        <x:v>2027</x:v>
      </x:c>
      <x:c r="C4" t="str">
        <x:v>année</x:v>
      </x:c>
      <x:c r="D4" t="str">
        <x:v>ACTIF</x:v>
      </x:c>
      <x:c r="E4" t="str">
        <x:v>Modifiable</x:v>
      </x:c>
      <x:c r="F4" t="str">
        <x:v>Management</x:v>
      </x:c>
    </x:row>
    <x:row r="5">
      <x:c r="A5" t="str">
        <x:v>Devise fonctionnelle</x:v>
      </x:c>
      <x:c r="B5" s="27" t="str">
        <x:v>MAD</x:v>
      </x:c>
      <x:c r="C5" t="str">
        <x:v>devise</x:v>
      </x:c>
      <x:c r="D5" t="str">
        <x:v>ACTIF</x:v>
      </x:c>
      <x:c r="E5" t="str">
        <x:v>Monnaie de reporting</x:v>
      </x:c>
      <x:c r="F5" t="str">
        <x:v>Management</x:v>
      </x:c>
    </x:row>
    <x:row r="6">
      <x:c r="A6" t="str">
        <x:v>Scénario actif</x:v>
      </x:c>
      <x:c r="B6" s="27" t="str">
        <x:v>Central</x:v>
      </x:c>
      <x:c r="C6" t="str">
        <x:v>liste</x:v>
      </x:c>
      <x:c r="D6" t="str">
        <x:v>ACTIF</x:v>
      </x:c>
      <x:c r="E6" t="str">
        <x:v>Prudent / Central / Ambitieux</x:v>
      </x:c>
      <x:c r="F6" t="str">
        <x:v>Management</x:v>
      </x:c>
    </x:row>
    <x:row r="7">
      <x:c r="A7" t="str">
        <x:v>TVA standard (hyp.)</x:v>
      </x:c>
      <x:c r="B7" s="30" t="n">
        <x:v>0.2</x:v>
      </x:c>
      <x:c r="C7" t="str">
        <x:v>%</x:v>
      </x:c>
      <x:c r="D7" t="str">
        <x:v>À VALIDER</x:v>
      </x:c>
      <x:c r="E7" t="str">
        <x:v>Hypothèse de travail ; vérifier le taux applicable par nature d’opération</x:v>
      </x:c>
      <x:c r="F7" t="str">
        <x:v>Fiscaliste / DGI</x:v>
      </x:c>
    </x:row>
    <x:row r="8">
      <x:c r="A8" t="str">
        <x:v>IS effectif (hyp.)</x:v>
      </x:c>
      <x:c r="B8" s="30" t="n">
        <x:v>0.2</x:v>
      </x:c>
      <x:c r="C8" t="str">
        <x:v>%</x:v>
      </x:c>
      <x:c r="D8" t="str">
        <x:v>À VALIDER</x:v>
      </x:c>
      <x:c r="E8" t="str">
        <x:v>Taux simplifié pour modélisation ; remplacer par le taux réellement applicable</x:v>
      </x:c>
      <x:c r="F8" t="str">
        <x:v>Expert-comptable</x:v>
      </x:c>
    </x:row>
    <x:row r="9">
      <x:c r="A9" t="str">
        <x:v>Charges patronales moy. (hyp.)</x:v>
      </x:c>
      <x:c r="B9" s="30" t="n">
        <x:v>0.22</x:v>
      </x:c>
      <x:c r="C9" t="str">
        <x:v>% du brut</x:v>
      </x:c>
      <x:c r="D9" t="str">
        <x:v>À VALIDER</x:v>
      </x:c>
      <x:c r="E9" t="str">
        <x:v>Hypothèse agrégée pour budget RH ; remplacer par le taux réel</x:v>
      </x:c>
      <x:c r="F9" t="str">
        <x:v>Paie / CNSS</x:v>
      </x:c>
    </x:row>
    <x:row r="10">
      <x:c r="A10" t="str">
        <x:v>DSO cible</x:v>
      </x:c>
      <x:c r="B10" s="27" t="n">
        <x:v>60</x:v>
      </x:c>
      <x:c r="C10" t="str">
        <x:v>jours</x:v>
      </x:c>
      <x:c r="D10" t="str">
        <x:v>ACTIF</x:v>
      </x:c>
      <x:c r="E10" t="str">
        <x:v>Délai moyen clients</x:v>
      </x:c>
      <x:c r="F10" t="str">
        <x:v>Finance</x:v>
      </x:c>
    </x:row>
    <x:row r="11">
      <x:c r="A11" t="str">
        <x:v>DPO cible</x:v>
      </x:c>
      <x:c r="B11" s="27" t="n">
        <x:v>45</x:v>
      </x:c>
      <x:c r="C11" t="str">
        <x:v>jours</x:v>
      </x:c>
      <x:c r="D11" t="str">
        <x:v>ACTIF</x:v>
      </x:c>
      <x:c r="E11" t="str">
        <x:v>Délai moyen fournisseurs</x:v>
      </x:c>
      <x:c r="F11" t="str">
        <x:v>Finance</x:v>
      </x:c>
    </x:row>
    <x:row r="12">
      <x:c r="A12" t="str">
        <x:v>Stock cible</x:v>
      </x:c>
      <x:c r="B12" s="27" t="n">
        <x:v>45</x:v>
      </x:c>
      <x:c r="C12" t="str">
        <x:v>jours de COGS</x:v>
      </x:c>
      <x:c r="D12" t="str">
        <x:v>ACTIF</x:v>
      </x:c>
      <x:c r="E12" t="str">
        <x:v>À adapter selon activité</x:v>
      </x:c>
      <x:c r="F12" t="str">
        <x:v>Supply Chain</x:v>
      </x:c>
    </x:row>
    <x:row r="13">
      <x:c r="A13" t="str">
        <x:v>EUR/MAD</x:v>
      </x:c>
      <x:c r="B13" s="27" t="n">
        <x:v>10.8</x:v>
      </x:c>
      <x:c r="C13" t="str">
        <x:v>MAD/EUR</x:v>
      </x:c>
      <x:c r="D13" t="str">
        <x:v>À VALIDER</x:v>
      </x:c>
      <x:c r="E13" t="str">
        <x:v>Hypothèse budgétaire FX</x:v>
      </x:c>
      <x:c r="F13" t="str">
        <x:v>Finance</x:v>
      </x:c>
    </x:row>
    <x:row r="14">
      <x:c r="A14" t="str">
        <x:v>USD/MAD</x:v>
      </x:c>
      <x:c r="B14" s="32" t="n">
        <x:v>9.85</x:v>
      </x:c>
      <x:c r="C14" t="str">
        <x:v>MAD/USD</x:v>
      </x:c>
      <x:c r="D14" t="str">
        <x:v>À VALIDER</x:v>
      </x:c>
      <x:c r="E14" t="str">
        <x:v>Hypothèse budgétaire FX</x:v>
      </x:c>
      <x:c r="F14" t="str">
        <x:v>Finance</x:v>
      </x:c>
    </x:row>
    <x:row r="15">
      <x:c r="A15" t="str">
        <x:v>Inflation achats</x:v>
      </x:c>
      <x:c r="B15" s="32" t="n">
        <x:v>0.025</x:v>
      </x:c>
      <x:c r="C15" t="str">
        <x:v>%</x:v>
      </x:c>
      <x:c r="D15" t="str">
        <x:v>À VALIDER</x:v>
      </x:c>
      <x:c r="E15" t="str">
        <x:v>Hypothèse interne</x:v>
      </x:c>
      <x:c r="F15" t="str">
        <x:v>Management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8" customHeight="1">
      <x:c r="A1" s="5" t="str">
        <x:v>02 — SCÉNARIOS &amp; SENSIBILITÉS</x:v>
      </x:c>
    </x:row>
    <x:row r="3">
      <x:c r="A3" s="19" t="str">
        <x:v>Driver</x:v>
      </x:c>
      <x:c r="B3" s="19" t="str">
        <x:v>Prudent</x:v>
      </x:c>
      <x:c r="C3" s="19" t="str">
        <x:v>Central</x:v>
      </x:c>
      <x:c r="D3" s="19" t="str">
        <x:v>Ambitieux</x:v>
      </x:c>
      <x:c r="E3" s="19" t="str">
        <x:v>Unité</x:v>
      </x:c>
    </x:row>
    <x:row r="4">
      <x:c r="A4" t="str">
        <x:v>Croissance volume</x:v>
      </x:c>
      <x:c r="B4" s="30" t="n">
        <x:v>-0.03</x:v>
      </x:c>
      <x:c r="C4" s="30" t="n">
        <x:v>0.05</x:v>
      </x:c>
      <x:c r="D4" s="30" t="n">
        <x:v>0.12</x:v>
      </x:c>
      <x:c r="E4" t="str">
        <x:v>%</x:v>
      </x:c>
    </x:row>
    <x:row r="5">
      <x:c r="A5" t="str">
        <x:v>Hausse prix</x:v>
      </x:c>
      <x:c r="B5" s="30" t="n">
        <x:v>0</x:v>
      </x:c>
      <x:c r="C5" s="30" t="n">
        <x:v>0.03</x:v>
      </x:c>
      <x:c r="D5" s="30" t="n">
        <x:v>0.06</x:v>
      </x:c>
      <x:c r="E5" t="str">
        <x:v>%</x:v>
      </x:c>
    </x:row>
    <x:row r="6">
      <x:c r="A6" t="str">
        <x:v>Inflation achats</x:v>
      </x:c>
      <x:c r="B6" s="30" t="n">
        <x:v>0.05</x:v>
      </x:c>
      <x:c r="C6" s="30" t="n">
        <x:v>0.025</x:v>
      </x:c>
      <x:c r="D6" s="30" t="n">
        <x:v>0.015</x:v>
      </x:c>
      <x:c r="E6" t="str">
        <x:v>%</x:v>
      </x:c>
    </x:row>
    <x:row r="7">
      <x:c r="A7" t="str">
        <x:v>Croissance salariale</x:v>
      </x:c>
      <x:c r="B7" s="30" t="n">
        <x:v>0.06</x:v>
      </x:c>
      <x:c r="C7" s="30" t="n">
        <x:v>0.04</x:v>
      </x:c>
      <x:c r="D7" s="30" t="n">
        <x:v>0.035</x:v>
      </x:c>
      <x:c r="E7" t="str">
        <x:v>%</x:v>
      </x:c>
    </x:row>
    <x:row r="8">
      <x:c r="A8" t="str">
        <x:v>DSO variation</x:v>
      </x:c>
      <x:c r="B8" s="27" t="n">
        <x:v>15</x:v>
      </x:c>
      <x:c r="C8" s="27" t="n">
        <x:v>0</x:v>
      </x:c>
      <x:c r="D8" s="27" t="n">
        <x:v>-10</x:v>
      </x:c>
      <x:c r="E8" t="str">
        <x:v>jours</x:v>
      </x:c>
    </x:row>
    <x:row r="9">
      <x:c r="A9" t="str">
        <x:v>DPO variation</x:v>
      </x:c>
      <x:c r="B9" s="27" t="n">
        <x:v>-10</x:v>
      </x:c>
      <x:c r="C9" s="27" t="n">
        <x:v>0</x:v>
      </x:c>
      <x:c r="D9" s="27" t="n">
        <x:v>10</x:v>
      </x:c>
      <x:c r="E9" t="str">
        <x:v>jours</x:v>
      </x:c>
    </x:row>
    <x:row r="10">
      <x:c r="A10" t="str">
        <x:v>CAPEX facteur</x:v>
      </x:c>
      <x:c r="B10" s="34" t="n">
        <x:v>0.7</x:v>
      </x:c>
      <x:c r="C10" s="34" t="n">
        <x:v>1</x:v>
      </x:c>
      <x:c r="D10" s="34" t="n">
        <x:v>1.25</x:v>
      </x:c>
      <x:c r="E10" t="str">
        <x:v>x</x:v>
      </x:c>
    </x:row>
    <x:row r="12">
      <x:c r="A12" s="38" t="str">
        <x:v>Valeurs actives tirées du scénario sélectionné</x:v>
      </x:c>
    </x:row>
    <x:row r="13">
      <x:c r="A13" s="19" t="str">
        <x:v>Driver</x:v>
      </x:c>
      <x:c r="B13" s="19" t="str">
        <x:v>Valeur active</x:v>
      </x:c>
      <x:c r="C13" s="19" t="str">
        <x:v>Usage</x:v>
      </x:c>
    </x:row>
    <x:row r="14">
      <x:c r="A14" t="str">
        <x:v>Croissance volume</x:v>
      </x:c>
      <x:c r="B14" s="44" t="n">
        <x:f>IF('01_Paramètres'!$B$6="Prudent",B4,IF('01_Paramètres'!$B$6="Ambitieux",D4,C4))</x:f>
        <x:v>0.05</x:v>
      </x:c>
      <x:c r="C14" t="str">
        <x:v>Revenue engine</x:v>
      </x:c>
    </x:row>
    <x:row r="15">
      <x:c r="A15" t="str">
        <x:v>Hausse prix</x:v>
      </x:c>
      <x:c r="B15" s="44" t="n">
        <x:f>IF('01_Paramètres'!$B$6="Prudent",B5,IF('01_Paramètres'!$B$6="Ambitieux",D5,C5))</x:f>
        <x:v>0.03</x:v>
      </x:c>
      <x:c r="C15" t="str">
        <x:v>Revenue engine</x:v>
      </x:c>
    </x:row>
    <x:row r="16">
      <x:c r="A16" t="str">
        <x:v>Inflation achats</x:v>
      </x:c>
      <x:c r="B16" s="44" t="n">
        <x:f>IF('01_Paramètres'!$B$6="Prudent",B6,IF('01_Paramètres'!$B$6="Ambitieux",D6,C6))</x:f>
        <x:v>0.025</x:v>
      </x:c>
      <x:c r="C16" t="str">
        <x:v>OPEX / COGS</x:v>
      </x:c>
    </x:row>
    <x:row r="17">
      <x:c r="A17" t="str">
        <x:v>Croissance salariale</x:v>
      </x:c>
      <x:c r="B17" s="44" t="n">
        <x:f>IF('01_Paramètres'!$B$6="Prudent",B7,IF('01_Paramètres'!$B$6="Ambitieux",D7,C7))</x:f>
        <x:v>0.04</x:v>
      </x:c>
      <x:c r="C17" t="str">
        <x:v>RH</x:v>
      </x:c>
    </x:row>
    <x:row r="18">
      <x:c r="A18" t="str">
        <x:v>DSO variation</x:v>
      </x:c>
      <x:c r="B18" s="42" t="n">
        <x:f>IF('01_Paramètres'!$B$6="Prudent",B8,IF('01_Paramètres'!$B$6="Ambitieux",D8,C8))</x:f>
        <x:v>0</x:v>
      </x:c>
      <x:c r="C18" t="str">
        <x:v>BFR</x:v>
      </x:c>
    </x:row>
    <x:row r="19">
      <x:c r="A19" t="str">
        <x:v>DPO variation</x:v>
      </x:c>
      <x:c r="B19" s="42" t="n">
        <x:f>IF('01_Paramètres'!$B$6="Prudent",B9,IF('01_Paramètres'!$B$6="Ambitieux",D9,C9))</x:f>
        <x:v>0</x:v>
      </x:c>
      <x:c r="C19" t="str">
        <x:v>BFR</x:v>
      </x:c>
    </x:row>
  </x:sheetData>
  <x:mergeCells>
    <x:mergeCell ref="A1:E1"/>
    <x:mergeCell ref="A12:C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18" hidden="0" customWidth="1"/>
  </x:cols>
  <x:sheetData>
    <x:row r="1" ht="28" customHeight="1">
      <x:c r="A1" s="5" t="str">
        <x:v>03 — PLAN COMPTABLE &amp; MAPPING ANALYTIQUE</x:v>
      </x:c>
    </x:row>
    <x:row r="3">
      <x:c r="A3" s="19" t="str">
        <x:v>Code</x:v>
      </x:c>
      <x:c r="B3" s="19" t="str">
        <x:v>Libellé</x:v>
      </x:c>
      <x:c r="C3" s="19" t="str">
        <x:v>Nature</x:v>
      </x:c>
      <x:c r="D3" s="19" t="str">
        <x:v>Groupe</x:v>
      </x:c>
      <x:c r="E3" s="19" t="str">
        <x:v>Département</x:v>
      </x:c>
      <x:c r="F3" s="19" t="str">
        <x:v>Fixe/Variable</x:v>
      </x:c>
      <x:c r="G3" s="19" t="str">
        <x:v>Cash/Non-cash</x:v>
      </x:c>
      <x:c r="H3" s="19" t="str">
        <x:v>Driver</x:v>
      </x:c>
      <x:c r="I3" s="19" t="str">
        <x:v>Actif ?</x:v>
      </x:c>
    </x:row>
    <x:row r="4">
      <x:c r="A4" s="27" t="str">
        <x:v>71xxx</x:v>
      </x:c>
      <x:c r="B4" s="27" t="str">
        <x:v>Ventes marchandises</x:v>
      </x:c>
      <x:c r="C4" s="27" t="str">
        <x:v>Revenue</x:v>
      </x:c>
      <x:c r="D4" s="27" t="str">
        <x:v>CA</x:v>
      </x:c>
      <x:c r="E4" s="27" t="str">
        <x:v>Sales</x:v>
      </x:c>
      <x:c r="F4" s="27" t="str">
        <x:v>Variable</x:v>
      </x:c>
      <x:c r="G4" s="27" t="str">
        <x:v>Cash</x:v>
      </x:c>
      <x:c r="H4" s="27" t="str">
        <x:v>Volume x prix</x:v>
      </x:c>
      <x:c r="I4" s="27" t="str">
        <x:v>Oui</x:v>
      </x:c>
    </x:row>
    <x:row r="5">
      <x:c r="A5" s="27" t="str">
        <x:v>711xx</x:v>
      </x:c>
      <x:c r="B5" s="27" t="str">
        <x:v>Prestations de services</x:v>
      </x:c>
      <x:c r="C5" s="27" t="str">
        <x:v>Revenue</x:v>
      </x:c>
      <x:c r="D5" s="27" t="str">
        <x:v>CA</x:v>
      </x:c>
      <x:c r="E5" s="27" t="str">
        <x:v>Sales</x:v>
      </x:c>
      <x:c r="F5" s="27" t="str">
        <x:v>Variable</x:v>
      </x:c>
      <x:c r="G5" s="27" t="str">
        <x:v>Cash</x:v>
      </x:c>
      <x:c r="H5" s="27" t="str">
        <x:v>Clients x panier</x:v>
      </x:c>
      <x:c r="I5" s="27" t="str">
        <x:v>Oui</x:v>
      </x:c>
    </x:row>
    <x:row r="6">
      <x:c r="A6" s="27" t="str">
        <x:v>611xx</x:v>
      </x:c>
      <x:c r="B6" s="27" t="str">
        <x:v>Achats / matières</x:v>
      </x:c>
      <x:c r="C6" s="27" t="str">
        <x:v>COGS</x:v>
      </x:c>
      <x:c r="D6" s="27" t="str">
        <x:v>Marge brute</x:v>
      </x:c>
      <x:c r="E6" s="27" t="str">
        <x:v>Operations</x:v>
      </x:c>
      <x:c r="F6" s="27" t="str">
        <x:v>Variable</x:v>
      </x:c>
      <x:c r="G6" s="27" t="str">
        <x:v>Cash</x:v>
      </x:c>
      <x:c r="H6" s="27" t="str">
        <x:v>% CA / unités</x:v>
      </x:c>
      <x:c r="I6" s="27" t="str">
        <x:v>Oui</x:v>
      </x:c>
    </x:row>
    <x:row r="7">
      <x:c r="A7" s="27" t="str">
        <x:v>613xx</x:v>
      </x:c>
      <x:c r="B7" s="27" t="str">
        <x:v>Loyers</x:v>
      </x:c>
      <x:c r="C7" s="27" t="str">
        <x:v>OPEX</x:v>
      </x:c>
      <x:c r="D7" s="27" t="str">
        <x:v>OPEX</x:v>
      </x:c>
      <x:c r="E7" s="27" t="str">
        <x:v>G&amp;A</x:v>
      </x:c>
      <x:c r="F7" s="27" t="str">
        <x:v>Fixe</x:v>
      </x:c>
      <x:c r="G7" s="27" t="str">
        <x:v>Cash</x:v>
      </x:c>
      <x:c r="H7" s="27" t="str">
        <x:v>Contrat</x:v>
      </x:c>
      <x:c r="I7" s="27" t="str">
        <x:v>Oui</x:v>
      </x:c>
    </x:row>
    <x:row r="8">
      <x:c r="A8" s="27" t="str">
        <x:v>614xx</x:v>
      </x:c>
      <x:c r="B8" s="27" t="str">
        <x:v>Transport / distribution</x:v>
      </x:c>
      <x:c r="C8" s="27" t="str">
        <x:v>OPEX</x:v>
      </x:c>
      <x:c r="D8" s="27" t="str">
        <x:v>OPEX</x:v>
      </x:c>
      <x:c r="E8" s="27" t="str">
        <x:v>Logistic</x:v>
      </x:c>
      <x:c r="F8" s="27" t="str">
        <x:v>Variable</x:v>
      </x:c>
      <x:c r="G8" s="27" t="str">
        <x:v>Cash</x:v>
      </x:c>
      <x:c r="H8" s="27" t="str">
        <x:v>Livraisons / CA</x:v>
      </x:c>
      <x:c r="I8" s="27" t="str">
        <x:v>Oui</x:v>
      </x:c>
    </x:row>
    <x:row r="9">
      <x:c r="A9" s="27" t="str">
        <x:v>617xx</x:v>
      </x:c>
      <x:c r="B9" s="27" t="str">
        <x:v>Personnel</x:v>
      </x:c>
      <x:c r="C9" s="27" t="str">
        <x:v>OPEX</x:v>
      </x:c>
      <x:c r="D9" s="27" t="str">
        <x:v>Payroll</x:v>
      </x:c>
      <x:c r="E9" s="27" t="str">
        <x:v>HR</x:v>
      </x:c>
      <x:c r="F9" s="27" t="str">
        <x:v>Semi-variable</x:v>
      </x:c>
      <x:c r="G9" s="27" t="str">
        <x:v>Cash</x:v>
      </x:c>
      <x:c r="H9" s="27" t="str">
        <x:v>Effectifs</x:v>
      </x:c>
      <x:c r="I9" s="27" t="str">
        <x:v>Oui</x:v>
      </x:c>
    </x:row>
    <x:row r="10">
      <x:c r="A10" s="27" t="str">
        <x:v>618xx</x:v>
      </x:c>
      <x:c r="B10" s="27" t="str">
        <x:v>Marketing</x:v>
      </x:c>
      <x:c r="C10" s="27" t="str">
        <x:v>OPEX</x:v>
      </x:c>
      <x:c r="D10" s="27" t="str">
        <x:v>Sales &amp; Marketing</x:v>
      </x:c>
      <x:c r="E10" s="27" t="str">
        <x:v>Sales</x:v>
      </x:c>
      <x:c r="F10" s="27" t="str">
        <x:v>Variable</x:v>
      </x:c>
      <x:c r="G10" s="27" t="str">
        <x:v>Cash</x:v>
      </x:c>
      <x:c r="H10" s="27" t="str">
        <x:v>% CA / campagnes</x:v>
      </x:c>
      <x:c r="I10" s="27" t="str">
        <x:v>Oui</x:v>
      </x:c>
    </x:row>
    <x:row r="11">
      <x:c r="A11" s="27" t="str">
        <x:v>619xx</x:v>
      </x:c>
      <x:c r="B11" s="27" t="str">
        <x:v>IT / logiciels</x:v>
      </x:c>
      <x:c r="C11" s="27" t="str">
        <x:v>OPEX</x:v>
      </x:c>
      <x:c r="D11" s="27" t="str">
        <x:v>Software</x:v>
      </x:c>
      <x:c r="E11" s="27" t="str">
        <x:v>G&amp;A</x:v>
      </x:c>
      <x:c r="F11" s="27" t="str">
        <x:v>Fixe</x:v>
      </x:c>
      <x:c r="G11" s="27" t="str">
        <x:v>Cash</x:v>
      </x:c>
      <x:c r="H11" s="27" t="str">
        <x:v>Abonnements</x:v>
      </x:c>
      <x:c r="I11" s="27" t="str">
        <x:v>Oui</x:v>
      </x:c>
    </x:row>
    <x:row r="12">
      <x:c r="A12" s="27" t="str">
        <x:v>651xx</x:v>
      </x:c>
      <x:c r="B12" s="27" t="str">
        <x:v>Intérêts</x:v>
      </x:c>
      <x:c r="C12" s="27" t="str">
        <x:v>Finance</x:v>
      </x:c>
      <x:c r="D12" s="27" t="str">
        <x:v>Finance</x:v>
      </x:c>
      <x:c r="E12" s="27" t="str">
        <x:v>Finance</x:v>
      </x:c>
      <x:c r="F12" s="27" t="str">
        <x:v>Variable</x:v>
      </x:c>
      <x:c r="G12" s="27" t="str">
        <x:v>Cash</x:v>
      </x:c>
      <x:c r="H12" s="27" t="str">
        <x:v>Dette x taux</x:v>
      </x:c>
      <x:c r="I12" s="27" t="str">
        <x:v>Oui</x:v>
      </x:c>
    </x:row>
    <x:row r="13">
      <x:c r="A13" s="27" t="str">
        <x:v>681xx</x:v>
      </x:c>
      <x:c r="B13" s="27" t="str">
        <x:v>Amortissements</x:v>
      </x:c>
      <x:c r="C13" s="27" t="str">
        <x:v>OPEX</x:v>
      </x:c>
      <x:c r="D13" s="27" t="str">
        <x:v>Depreciation</x:v>
      </x:c>
      <x:c r="E13" s="27" t="str">
        <x:v>Finance</x:v>
      </x:c>
      <x:c r="F13" s="27" t="str">
        <x:v>Fixe</x:v>
      </x:c>
      <x:c r="G13" s="27" t="str">
        <x:v>Non-cash</x:v>
      </x:c>
      <x:c r="H13" s="27" t="str">
        <x:v>CAPEX</x:v>
      </x:c>
      <x:c r="I13" s="27" t="str">
        <x:v>Oui</x:v>
      </x:c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 ht="28" customHeight="1">
      <x:c r="A1" s="5" t="str">
        <x:v>04 — MOTEUR DE REVENUS</x:v>
      </x:c>
    </x:row>
    <x:row r="3">
      <x:c r="A3" s="19" t="str">
        <x:v>Segment</x:v>
      </x:c>
      <x:c r="B3" s="19" t="str">
        <x:v>CA N-1 (MAD)</x:v>
      </x:c>
      <x:c r="C3" s="19" t="str">
        <x:v>Volume N-1</x:v>
      </x:c>
      <x:c r="D3" s="19" t="str">
        <x:v>Prix moyen N-1</x:v>
      </x:c>
      <x:c r="E3" s="19" t="str">
        <x:v>Croissance volume</x:v>
      </x:c>
      <x:c r="F3" s="19" t="str">
        <x:v>Hausse prix</x:v>
      </x:c>
      <x:c r="G3" s="19" t="str">
        <x:v>CA Budget</x:v>
      </x:c>
      <x:c r="H3" s="19" t="str">
        <x:v>Jan</x:v>
      </x:c>
      <x:c r="I3" s="19" t="str">
        <x:v>Fév</x:v>
      </x:c>
      <x:c r="J3" s="19" t="str">
        <x:v>Mar</x:v>
      </x:c>
      <x:c r="K3" s="19" t="str">
        <x:v>Avr</x:v>
      </x:c>
      <x:c r="L3" s="19" t="str">
        <x:v>Mai</x:v>
      </x:c>
      <x:c r="M3" s="19" t="str">
        <x:v>Juin</x:v>
      </x:c>
      <x:c r="N3" s="19" t="str">
        <x:v>Juil</x:v>
      </x:c>
      <x:c r="O3" s="19" t="str">
        <x:v>Aoû</x:v>
      </x:c>
      <x:c r="P3" s="19" t="str">
        <x:v>Sep</x:v>
      </x:c>
      <x:c r="Q3" s="19" t="str">
        <x:v>Oct</x:v>
      </x:c>
      <x:c r="R3" s="19" t="str">
        <x:v>Nov</x:v>
      </x:c>
      <x:c r="S3" s="19" t="str">
        <x:v>Déc</x:v>
      </x:c>
      <x:c r="T3" s="19" t="str">
        <x:v>Total 12M</x:v>
      </x:c>
    </x:row>
    <x:row r="4">
      <x:c r="A4" s="27" t="str">
        <x:v>Industrie / Chimie</x:v>
      </x:c>
      <x:c r="B4" s="50" t="n">
        <x:v>6000000</x:v>
      </x:c>
      <x:c r="C4" s="50" t="n">
        <x:v>12000</x:v>
      </x:c>
      <x:c r="D4" s="50" t="n">
        <x:v>500</x:v>
      </x:c>
      <x:c r="E4" s="44" t="n">
        <x:f>'02_Scénarios'!$B$14</x:f>
        <x:v>0.05</x:v>
      </x:c>
      <x:c r="F4" s="44" t="n">
        <x:f>'02_Scénarios'!$B$15</x:f>
        <x:v>0.03</x:v>
      </x:c>
      <x:c r="G4" s="52" t="n">
        <x:f>B4*(1+E4)*(1+F4)</x:f>
        <x:v>6489000</x:v>
      </x:c>
      <x:c r="H4" s="52" t="n">
        <x:f>$G4*0.075</x:f>
        <x:v>486675</x:v>
      </x:c>
      <x:c r="I4" s="52" t="n">
        <x:f>$G4*0.075</x:f>
        <x:v>486675</x:v>
      </x:c>
      <x:c r="J4" s="52" t="n">
        <x:f>$G4*0.08</x:f>
        <x:v>519120</x:v>
      </x:c>
      <x:c r="K4" s="52" t="n">
        <x:f>$G4*0.08</x:f>
        <x:v>519120</x:v>
      </x:c>
      <x:c r="L4" s="52" t="n">
        <x:f>$G4*0.085</x:f>
        <x:v>551565</x:v>
      </x:c>
      <x:c r="M4" s="52" t="n">
        <x:f>$G4*0.085</x:f>
        <x:v>551565</x:v>
      </x:c>
      <x:c r="N4" s="52" t="n">
        <x:f>$G4*0.085</x:f>
        <x:v>551565</x:v>
      </x:c>
      <x:c r="O4" s="52" t="n">
        <x:f>$G4*0.085</x:f>
        <x:v>551565</x:v>
      </x:c>
      <x:c r="P4" s="52" t="n">
        <x:f>$G4*0.085</x:f>
        <x:v>551565</x:v>
      </x:c>
      <x:c r="Q4" s="52" t="n">
        <x:f>$G4*0.085</x:f>
        <x:v>551565</x:v>
      </x:c>
      <x:c r="R4" s="52" t="n">
        <x:f>$G4*0.09</x:f>
        <x:v>584010</x:v>
      </x:c>
      <x:c r="S4" s="52" t="n">
        <x:f>$G4*0.09</x:f>
        <x:v>584010</x:v>
      </x:c>
      <x:c r="T4" s="52" t="n">
        <x:f>SUM(H4:S4)</x:f>
        <x:v>6489000</x:v>
      </x:c>
    </x:row>
    <x:row r="5">
      <x:c r="A5" s="27" t="str">
        <x:v>Revêtements</x:v>
      </x:c>
      <x:c r="B5" s="50" t="n">
        <x:v>4800000</x:v>
      </x:c>
      <x:c r="C5" s="50" t="n">
        <x:v>8000</x:v>
      </x:c>
      <x:c r="D5" s="50" t="n">
        <x:v>600</x:v>
      </x:c>
      <x:c r="E5" s="44" t="n">
        <x:f>'02_Scénarios'!$B$14</x:f>
        <x:v>0.05</x:v>
      </x:c>
      <x:c r="F5" s="44" t="n">
        <x:f>'02_Scénarios'!$B$15</x:f>
        <x:v>0.03</x:v>
      </x:c>
      <x:c r="G5" s="52" t="n">
        <x:f>B5*(1+E5)*(1+F5)</x:f>
        <x:v>5191200</x:v>
      </x:c>
      <x:c r="H5" s="52" t="n">
        <x:f>$G5*0.075</x:f>
        <x:v>389340</x:v>
      </x:c>
      <x:c r="I5" s="52" t="n">
        <x:f>$G5*0.075</x:f>
        <x:v>389340</x:v>
      </x:c>
      <x:c r="J5" s="52" t="n">
        <x:f>$G5*0.08</x:f>
        <x:v>415296</x:v>
      </x:c>
      <x:c r="K5" s="52" t="n">
        <x:f>$G5*0.08</x:f>
        <x:v>415296</x:v>
      </x:c>
      <x:c r="L5" s="52" t="n">
        <x:f>$G5*0.085</x:f>
        <x:v>441252.00000000006</x:v>
      </x:c>
      <x:c r="M5" s="52" t="n">
        <x:f>$G5*0.085</x:f>
        <x:v>441252.00000000006</x:v>
      </x:c>
      <x:c r="N5" s="52" t="n">
        <x:f>$G5*0.085</x:f>
        <x:v>441252.00000000006</x:v>
      </x:c>
      <x:c r="O5" s="52" t="n">
        <x:f>$G5*0.085</x:f>
        <x:v>441252.00000000006</x:v>
      </x:c>
      <x:c r="P5" s="52" t="n">
        <x:f>$G5*0.085</x:f>
        <x:v>441252.00000000006</x:v>
      </x:c>
      <x:c r="Q5" s="52" t="n">
        <x:f>$G5*0.085</x:f>
        <x:v>441252.00000000006</x:v>
      </x:c>
      <x:c r="R5" s="52" t="n">
        <x:f>$G5*0.09</x:f>
        <x:v>467208</x:v>
      </x:c>
      <x:c r="S5" s="52" t="n">
        <x:f>$G5*0.09</x:f>
        <x:v>467208</x:v>
      </x:c>
      <x:c r="T5" s="52" t="n">
        <x:f>SUM(H5:S5)</x:f>
        <x:v>5191200</x:v>
      </x:c>
    </x:row>
    <x:row r="6">
      <x:c r="A6" s="27" t="str">
        <x:v>Agroalimentaire</x:v>
      </x:c>
      <x:c r="B6" s="50" t="n">
        <x:v>4200000</x:v>
      </x:c>
      <x:c r="C6" s="50" t="n">
        <x:v>14000</x:v>
      </x:c>
      <x:c r="D6" s="50" t="n">
        <x:v>300</x:v>
      </x:c>
      <x:c r="E6" s="44" t="n">
        <x:f>'02_Scénarios'!$B$14</x:f>
        <x:v>0.05</x:v>
      </x:c>
      <x:c r="F6" s="44" t="n">
        <x:f>'02_Scénarios'!$B$15</x:f>
        <x:v>0.03</x:v>
      </x:c>
      <x:c r="G6" s="52" t="n">
        <x:f>B6*(1+E6)*(1+F6)</x:f>
        <x:v>4542300</x:v>
      </x:c>
      <x:c r="H6" s="52" t="n">
        <x:f>$G6*0.075</x:f>
        <x:v>340672.5</x:v>
      </x:c>
      <x:c r="I6" s="52" t="n">
        <x:f>$G6*0.075</x:f>
        <x:v>340672.5</x:v>
      </x:c>
      <x:c r="J6" s="52" t="n">
        <x:f>$G6*0.08</x:f>
        <x:v>363384</x:v>
      </x:c>
      <x:c r="K6" s="52" t="n">
        <x:f>$G6*0.08</x:f>
        <x:v>363384</x:v>
      </x:c>
      <x:c r="L6" s="52" t="n">
        <x:f>$G6*0.085</x:f>
        <x:v>386095.5</x:v>
      </x:c>
      <x:c r="M6" s="52" t="n">
        <x:f>$G6*0.085</x:f>
        <x:v>386095.5</x:v>
      </x:c>
      <x:c r="N6" s="52" t="n">
        <x:f>$G6*0.085</x:f>
        <x:v>386095.5</x:v>
      </x:c>
      <x:c r="O6" s="52" t="n">
        <x:f>$G6*0.085</x:f>
        <x:v>386095.5</x:v>
      </x:c>
      <x:c r="P6" s="52" t="n">
        <x:f>$G6*0.085</x:f>
        <x:v>386095.5</x:v>
      </x:c>
      <x:c r="Q6" s="52" t="n">
        <x:f>$G6*0.085</x:f>
        <x:v>386095.5</x:v>
      </x:c>
      <x:c r="R6" s="52" t="n">
        <x:f>$G6*0.09</x:f>
        <x:v>408807</x:v>
      </x:c>
      <x:c r="S6" s="52" t="n">
        <x:f>$G6*0.09</x:f>
        <x:v>408807</x:v>
      </x:c>
      <x:c r="T6" s="52" t="n">
        <x:f>SUM(H6:S6)</x:f>
        <x:v>4542300</x:v>
      </x:c>
    </x:row>
    <x:row r="7">
      <x:c r="A7" s="27" t="str">
        <x:v>Pharma</x:v>
      </x:c>
      <x:c r="B7" s="50" t="n">
        <x:v>3600000</x:v>
      </x:c>
      <x:c r="C7" s="50" t="n">
        <x:v>6000</x:v>
      </x:c>
      <x:c r="D7" s="50" t="n">
        <x:v>600</x:v>
      </x:c>
      <x:c r="E7" s="44" t="n">
        <x:f>'02_Scénarios'!$B$14</x:f>
        <x:v>0.05</x:v>
      </x:c>
      <x:c r="F7" s="44" t="n">
        <x:f>'02_Scénarios'!$B$15</x:f>
        <x:v>0.03</x:v>
      </x:c>
      <x:c r="G7" s="52" t="n">
        <x:f>B7*(1+E7)*(1+F7)</x:f>
        <x:v>3893400</x:v>
      </x:c>
      <x:c r="H7" s="52" t="n">
        <x:f>$G7*0.075</x:f>
        <x:v>292005</x:v>
      </x:c>
      <x:c r="I7" s="52" t="n">
        <x:f>$G7*0.075</x:f>
        <x:v>292005</x:v>
      </x:c>
      <x:c r="J7" s="52" t="n">
        <x:f>$G7*0.08</x:f>
        <x:v>311472</x:v>
      </x:c>
      <x:c r="K7" s="52" t="n">
        <x:f>$G7*0.08</x:f>
        <x:v>311472</x:v>
      </x:c>
      <x:c r="L7" s="52" t="n">
        <x:f>$G7*0.085</x:f>
        <x:v>330939</x:v>
      </x:c>
      <x:c r="M7" s="52" t="n">
        <x:f>$G7*0.085</x:f>
        <x:v>330939</x:v>
      </x:c>
      <x:c r="N7" s="52" t="n">
        <x:f>$G7*0.085</x:f>
        <x:v>330939</x:v>
      </x:c>
      <x:c r="O7" s="52" t="n">
        <x:f>$G7*0.085</x:f>
        <x:v>330939</x:v>
      </x:c>
      <x:c r="P7" s="52" t="n">
        <x:f>$G7*0.085</x:f>
        <x:v>330939</x:v>
      </x:c>
      <x:c r="Q7" s="52" t="n">
        <x:f>$G7*0.085</x:f>
        <x:v>330939</x:v>
      </x:c>
      <x:c r="R7" s="52" t="n">
        <x:f>$G7*0.09</x:f>
        <x:v>350406</x:v>
      </x:c>
      <x:c r="S7" s="52" t="n">
        <x:f>$G7*0.09</x:f>
        <x:v>350406</x:v>
      </x:c>
      <x:c r="T7" s="52" t="n">
        <x:f>SUM(H7:S7)</x:f>
        <x:v>3893400</x:v>
      </x:c>
    </x:row>
    <x:row r="8">
      <x:c r="A8" s="27" t="str">
        <x:v>Services</x:v>
      </x:c>
      <x:c r="B8" s="50" t="n">
        <x:v>2500000</x:v>
      </x:c>
      <x:c r="C8" s="50" t="n">
        <x:v>250</x:v>
      </x:c>
      <x:c r="D8" s="50" t="n">
        <x:v>10000</x:v>
      </x:c>
      <x:c r="E8" s="44" t="n">
        <x:f>'02_Scénarios'!$B$14</x:f>
        <x:v>0.05</x:v>
      </x:c>
      <x:c r="F8" s="44" t="n">
        <x:f>'02_Scénarios'!$B$15</x:f>
        <x:v>0.03</x:v>
      </x:c>
      <x:c r="G8" s="52" t="n">
        <x:f>B8*(1+E8)*(1+F8)</x:f>
        <x:v>2703750</x:v>
      </x:c>
      <x:c r="H8" s="52" t="n">
        <x:f>$G8*0.075</x:f>
        <x:v>202781.25</x:v>
      </x:c>
      <x:c r="I8" s="52" t="n">
        <x:f>$G8*0.075</x:f>
        <x:v>202781.25</x:v>
      </x:c>
      <x:c r="J8" s="52" t="n">
        <x:f>$G8*0.08</x:f>
        <x:v>216300</x:v>
      </x:c>
      <x:c r="K8" s="52" t="n">
        <x:f>$G8*0.08</x:f>
        <x:v>216300</x:v>
      </x:c>
      <x:c r="L8" s="52" t="n">
        <x:f>$G8*0.085</x:f>
        <x:v>229818.75000000003</x:v>
      </x:c>
      <x:c r="M8" s="52" t="n">
        <x:f>$G8*0.085</x:f>
        <x:v>229818.75000000003</x:v>
      </x:c>
      <x:c r="N8" s="52" t="n">
        <x:f>$G8*0.085</x:f>
        <x:v>229818.75000000003</x:v>
      </x:c>
      <x:c r="O8" s="52" t="n">
        <x:f>$G8*0.085</x:f>
        <x:v>229818.75000000003</x:v>
      </x:c>
      <x:c r="P8" s="52" t="n">
        <x:f>$G8*0.085</x:f>
        <x:v>229818.75000000003</x:v>
      </x:c>
      <x:c r="Q8" s="52" t="n">
        <x:f>$G8*0.085</x:f>
        <x:v>229818.75000000003</x:v>
      </x:c>
      <x:c r="R8" s="52" t="n">
        <x:f>$G8*0.09</x:f>
        <x:v>243337.5</x:v>
      </x:c>
      <x:c r="S8" s="52" t="n">
        <x:f>$G8*0.09</x:f>
        <x:v>243337.5</x:v>
      </x:c>
      <x:c r="T8" s="52" t="n">
        <x:f>SUM(H8:S8)</x:f>
        <x:v>2703750</x:v>
      </x:c>
    </x:row>
    <x:row r="9"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</x:row>
    <x:row r="10">
      <x:c r="A10" s="47" t="str">
        <x:v>TOTAL CA</x:v>
      </x:c>
      <x:c r="B10" s="53" t="n">
        <x:f>SUM(B4:B8)</x:f>
        <x:v>21100000</x:v>
      </x:c>
      <x:c r="C10" s="53" t="n">
        <x:f>SUM(C4:C8)</x:f>
        <x:v>40250</x:v>
      </x:c>
      <x:c r="D10" s="53" t="n">
        <x:f>SUM(D4:D8)</x:f>
        <x:v>12000</x:v>
      </x:c>
      <x:c r="E10" s="53" t="n">
        <x:f>SUM(E4:E8)</x:f>
        <x:v>0.25</x:v>
      </x:c>
      <x:c r="F10" s="53" t="n">
        <x:f>SUM(F4:F8)</x:f>
        <x:v>0.15</x:v>
      </x:c>
      <x:c r="G10" s="53" t="n">
        <x:f>SUM(G4:G8)</x:f>
        <x:v>22819650</x:v>
      </x:c>
      <x:c r="H10" s="53" t="n">
        <x:f>SUM(H4:H8)</x:f>
        <x:v>1711473.75</x:v>
      </x:c>
      <x:c r="I10" s="53" t="n">
        <x:f>SUM(I4:I8)</x:f>
        <x:v>1711473.75</x:v>
      </x:c>
      <x:c r="J10" s="53" t="n">
        <x:f>SUM(J4:J8)</x:f>
        <x:v>1825572</x:v>
      </x:c>
      <x:c r="K10" s="53" t="n">
        <x:f>SUM(K4:K8)</x:f>
        <x:v>1825572</x:v>
      </x:c>
      <x:c r="L10" s="53" t="n">
        <x:f>SUM(L4:L8)</x:f>
        <x:v>1939670.25</x:v>
      </x:c>
      <x:c r="M10" s="53" t="n">
        <x:f>SUM(M4:M8)</x:f>
        <x:v>1939670.25</x:v>
      </x:c>
      <x:c r="N10" s="53" t="n">
        <x:f>SUM(N4:N8)</x:f>
        <x:v>1939670.25</x:v>
      </x:c>
      <x:c r="O10" s="53" t="n">
        <x:f>SUM(O4:O8)</x:f>
        <x:v>1939670.25</x:v>
      </x:c>
      <x:c r="P10" s="53" t="n">
        <x:f>SUM(P4:P8)</x:f>
        <x:v>1939670.25</x:v>
      </x:c>
      <x:c r="Q10" s="53" t="n">
        <x:f>SUM(Q4:Q8)</x:f>
        <x:v>1939670.25</x:v>
      </x:c>
      <x:c r="R10" s="53" t="n">
        <x:f>SUM(R4:R8)</x:f>
        <x:v>2053768.5</x:v>
      </x:c>
      <x:c r="S10" s="53" t="n">
        <x:f>SUM(S4:S8)</x:f>
        <x:v>2053768.5</x:v>
      </x:c>
      <x:c r="T10" s="53" t="n">
        <x:f>SUM(T4:T8)</x:f>
        <x:v>22819650</x:v>
      </x:c>
    </x:row>
  </x:sheetData>
  <x:mergeCells>
    <x:mergeCell ref="A1:T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28" customHeight="1">
      <x:c r="A1" s="5" t="str">
        <x:v>05 — OPEX PAR DRIVER</x:v>
      </x:c>
    </x:row>
    <x:row r="3">
      <x:c r="A3" s="19" t="str">
        <x:v>Dépense</x:v>
      </x:c>
      <x:c r="B3" s="19" t="str">
        <x:v>Département</x:v>
      </x:c>
      <x:c r="C3" s="19" t="str">
        <x:v>Driver</x:v>
      </x:c>
      <x:c r="D3" s="19" t="str">
        <x:v>Base annuelle N-1</x:v>
      </x:c>
      <x:c r="E3" s="19" t="str">
        <x:v>Hypothèse</x:v>
      </x:c>
      <x:c r="F3" s="19" t="str">
        <x:v>Budget annuel</x:v>
      </x:c>
      <x:c r="G3" s="19" t="str">
        <x:v>Jan</x:v>
      </x:c>
      <x:c r="H3" s="19" t="str">
        <x:v>Fév</x:v>
      </x:c>
      <x:c r="I3" s="19" t="str">
        <x:v>Mar</x:v>
      </x:c>
      <x:c r="J3" s="19" t="str">
        <x:v>Avr</x:v>
      </x:c>
      <x:c r="K3" s="19" t="str">
        <x:v>Mai</x:v>
      </x:c>
      <x:c r="L3" s="19" t="str">
        <x:v>Juin</x:v>
      </x:c>
      <x:c r="M3" s="19" t="str">
        <x:v>Juil</x:v>
      </x:c>
      <x:c r="N3" s="19" t="str">
        <x:v>Aoû</x:v>
      </x:c>
      <x:c r="O3" s="19" t="str">
        <x:v>Sep</x:v>
      </x:c>
      <x:c r="P3" s="19" t="str">
        <x:v>Oct</x:v>
      </x:c>
      <x:c r="Q3" s="19" t="str">
        <x:v>Nov</x:v>
      </x:c>
      <x:c r="R3" s="19" t="str">
        <x:v>Déc</x:v>
      </x:c>
    </x:row>
    <x:row r="4">
      <x:c r="A4" s="27" t="str">
        <x:v>Achats / matières</x:v>
      </x:c>
      <x:c r="B4" s="27" t="str">
        <x:v>Operations</x:v>
      </x:c>
      <x:c r="C4" s="27" t="str">
        <x:v>% CA</x:v>
      </x:c>
      <x:c r="D4" s="50" t="n">
        <x:v>9500000</x:v>
      </x:c>
      <x:c r="E4" s="30" t="n">
        <x:v>0.42</x:v>
      </x:c>
      <x:c r="F4" s="52" t="n">
        <x:f>'04_Revenus'!$T$10*E4</x:f>
        <x:v>9584253</x:v>
      </x:c>
      <x:c r="G4" s="52" t="n">
        <x:f>$F4/12</x:f>
        <x:v>798687.75</x:v>
      </x:c>
      <x:c r="H4" s="52" t="n">
        <x:f>$F4/12</x:f>
        <x:v>798687.75</x:v>
      </x:c>
      <x:c r="I4" s="52" t="n">
        <x:f>$F4/12</x:f>
        <x:v>798687.75</x:v>
      </x:c>
      <x:c r="J4" s="52" t="n">
        <x:f>$F4/12</x:f>
        <x:v>798687.75</x:v>
      </x:c>
      <x:c r="K4" s="52" t="n">
        <x:f>$F4/12</x:f>
        <x:v>798687.75</x:v>
      </x:c>
      <x:c r="L4" s="52" t="n">
        <x:f>$F4/12</x:f>
        <x:v>798687.75</x:v>
      </x:c>
      <x:c r="M4" s="52" t="n">
        <x:f>$F4/12</x:f>
        <x:v>798687.75</x:v>
      </x:c>
      <x:c r="N4" s="52" t="n">
        <x:f>$F4/12</x:f>
        <x:v>798687.75</x:v>
      </x:c>
      <x:c r="O4" s="52" t="n">
        <x:f>$F4/12</x:f>
        <x:v>798687.75</x:v>
      </x:c>
      <x:c r="P4" s="52" t="n">
        <x:f>$F4/12</x:f>
        <x:v>798687.75</x:v>
      </x:c>
      <x:c r="Q4" s="52" t="n">
        <x:f>$F4/12</x:f>
        <x:v>798687.75</x:v>
      </x:c>
      <x:c r="R4" s="52" t="n">
        <x:f>$F4/12</x:f>
        <x:v>798687.75</x:v>
      </x:c>
    </x:row>
    <x:row r="5">
      <x:c r="A5" s="27" t="str">
        <x:v>Loyers</x:v>
      </x:c>
      <x:c r="B5" s="27" t="str">
        <x:v>G&amp;A</x:v>
      </x:c>
      <x:c r="C5" s="27" t="str">
        <x:v>Inflation</x:v>
      </x:c>
      <x:c r="D5" s="50" t="n">
        <x:v>720000</x:v>
      </x:c>
      <x:c r="E5" s="30" t="n">
        <x:v>0.03</x:v>
      </x:c>
      <x:c r="F5" s="52" t="n">
        <x:f>D5*(1+E5+'02_Scénarios'!$B$16)</x:f>
        <x:v>759600</x:v>
      </x:c>
      <x:c r="G5" s="52" t="n">
        <x:f>$F5/12</x:f>
        <x:v>63300</x:v>
      </x:c>
      <x:c r="H5" s="52" t="n">
        <x:f>$F5/12</x:f>
        <x:v>63300</x:v>
      </x:c>
      <x:c r="I5" s="52" t="n">
        <x:f>$F5/12</x:f>
        <x:v>63300</x:v>
      </x:c>
      <x:c r="J5" s="52" t="n">
        <x:f>$F5/12</x:f>
        <x:v>63300</x:v>
      </x:c>
      <x:c r="K5" s="52" t="n">
        <x:f>$F5/12</x:f>
        <x:v>63300</x:v>
      </x:c>
      <x:c r="L5" s="52" t="n">
        <x:f>$F5/12</x:f>
        <x:v>63300</x:v>
      </x:c>
      <x:c r="M5" s="52" t="n">
        <x:f>$F5/12</x:f>
        <x:v>63300</x:v>
      </x:c>
      <x:c r="N5" s="52" t="n">
        <x:f>$F5/12</x:f>
        <x:v>63300</x:v>
      </x:c>
      <x:c r="O5" s="52" t="n">
        <x:f>$F5/12</x:f>
        <x:v>63300</x:v>
      </x:c>
      <x:c r="P5" s="52" t="n">
        <x:f>$F5/12</x:f>
        <x:v>63300</x:v>
      </x:c>
      <x:c r="Q5" s="52" t="n">
        <x:f>$F5/12</x:f>
        <x:v>63300</x:v>
      </x:c>
      <x:c r="R5" s="52" t="n">
        <x:f>$F5/12</x:f>
        <x:v>63300</x:v>
      </x:c>
    </x:row>
    <x:row r="6">
      <x:c r="A6" s="27" t="str">
        <x:v>Transport / distribution</x:v>
      </x:c>
      <x:c r="B6" s="27" t="str">
        <x:v>Logistic</x:v>
      </x:c>
      <x:c r="C6" s="27" t="str">
        <x:v>% CA</x:v>
      </x:c>
      <x:c r="D6" s="50" t="n">
        <x:v>900000</x:v>
      </x:c>
      <x:c r="E6" s="30" t="n">
        <x:v>0.045</x:v>
      </x:c>
      <x:c r="F6" s="52" t="n">
        <x:f>'04_Revenus'!$T$10*E6</x:f>
        <x:v>1026884.25</x:v>
      </x:c>
      <x:c r="G6" s="52" t="n">
        <x:f>$F6/12</x:f>
        <x:v>85573.6875</x:v>
      </x:c>
      <x:c r="H6" s="52" t="n">
        <x:f>$F6/12</x:f>
        <x:v>85573.6875</x:v>
      </x:c>
      <x:c r="I6" s="52" t="n">
        <x:f>$F6/12</x:f>
        <x:v>85573.6875</x:v>
      </x:c>
      <x:c r="J6" s="52" t="n">
        <x:f>$F6/12</x:f>
        <x:v>85573.6875</x:v>
      </x:c>
      <x:c r="K6" s="52" t="n">
        <x:f>$F6/12</x:f>
        <x:v>85573.6875</x:v>
      </x:c>
      <x:c r="L6" s="52" t="n">
        <x:f>$F6/12</x:f>
        <x:v>85573.6875</x:v>
      </x:c>
      <x:c r="M6" s="52" t="n">
        <x:f>$F6/12</x:f>
        <x:v>85573.6875</x:v>
      </x:c>
      <x:c r="N6" s="52" t="n">
        <x:f>$F6/12</x:f>
        <x:v>85573.6875</x:v>
      </x:c>
      <x:c r="O6" s="52" t="n">
        <x:f>$F6/12</x:f>
        <x:v>85573.6875</x:v>
      </x:c>
      <x:c r="P6" s="52" t="n">
        <x:f>$F6/12</x:f>
        <x:v>85573.6875</x:v>
      </x:c>
      <x:c r="Q6" s="52" t="n">
        <x:f>$F6/12</x:f>
        <x:v>85573.6875</x:v>
      </x:c>
      <x:c r="R6" s="52" t="n">
        <x:f>$F6/12</x:f>
        <x:v>85573.6875</x:v>
      </x:c>
    </x:row>
    <x:row r="7">
      <x:c r="A7" s="27" t="str">
        <x:v>Marketing</x:v>
      </x:c>
      <x:c r="B7" s="27" t="str">
        <x:v>Sales</x:v>
      </x:c>
      <x:c r="C7" s="27" t="str">
        <x:v>% CA</x:v>
      </x:c>
      <x:c r="D7" s="50" t="n">
        <x:v>650000</x:v>
      </x:c>
      <x:c r="E7" s="30" t="n">
        <x:v>0.035</x:v>
      </x:c>
      <x:c r="F7" s="52" t="n">
        <x:f>'04_Revenus'!$T$10*E7</x:f>
        <x:v>798687.7500000001</x:v>
      </x:c>
      <x:c r="G7" s="52" t="n">
        <x:f>$F7/12</x:f>
        <x:v>66557.31250000001</x:v>
      </x:c>
      <x:c r="H7" s="52" t="n">
        <x:f>$F7/12</x:f>
        <x:v>66557.31250000001</x:v>
      </x:c>
      <x:c r="I7" s="52" t="n">
        <x:f>$F7/12</x:f>
        <x:v>66557.31250000001</x:v>
      </x:c>
      <x:c r="J7" s="52" t="n">
        <x:f>$F7/12</x:f>
        <x:v>66557.31250000001</x:v>
      </x:c>
      <x:c r="K7" s="52" t="n">
        <x:f>$F7/12</x:f>
        <x:v>66557.31250000001</x:v>
      </x:c>
      <x:c r="L7" s="52" t="n">
        <x:f>$F7/12</x:f>
        <x:v>66557.31250000001</x:v>
      </x:c>
      <x:c r="M7" s="52" t="n">
        <x:f>$F7/12</x:f>
        <x:v>66557.31250000001</x:v>
      </x:c>
      <x:c r="N7" s="52" t="n">
        <x:f>$F7/12</x:f>
        <x:v>66557.31250000001</x:v>
      </x:c>
      <x:c r="O7" s="52" t="n">
        <x:f>$F7/12</x:f>
        <x:v>66557.31250000001</x:v>
      </x:c>
      <x:c r="P7" s="52" t="n">
        <x:f>$F7/12</x:f>
        <x:v>66557.31250000001</x:v>
      </x:c>
      <x:c r="Q7" s="52" t="n">
        <x:f>$F7/12</x:f>
        <x:v>66557.31250000001</x:v>
      </x:c>
      <x:c r="R7" s="52" t="n">
        <x:f>$F7/12</x:f>
        <x:v>66557.31250000001</x:v>
      </x:c>
    </x:row>
    <x:row r="8">
      <x:c r="A8" s="27" t="str">
        <x:v>Logiciels &amp; IT</x:v>
      </x:c>
      <x:c r="B8" s="27" t="str">
        <x:v>G&amp;A</x:v>
      </x:c>
      <x:c r="C8" s="27" t="str">
        <x:v>Inflation</x:v>
      </x:c>
      <x:c r="D8" s="50" t="n">
        <x:v>360000</x:v>
      </x:c>
      <x:c r="E8" s="30" t="n">
        <x:v>0.05</x:v>
      </x:c>
      <x:c r="F8" s="52" t="n">
        <x:f>D8*(1+E8+'02_Scénarios'!$B$16)</x:f>
        <x:v>387000</x:v>
      </x:c>
      <x:c r="G8" s="52" t="n">
        <x:f>$F8/12</x:f>
        <x:v>32250</x:v>
      </x:c>
      <x:c r="H8" s="52" t="n">
        <x:f>$F8/12</x:f>
        <x:v>32250</x:v>
      </x:c>
      <x:c r="I8" s="52" t="n">
        <x:f>$F8/12</x:f>
        <x:v>32250</x:v>
      </x:c>
      <x:c r="J8" s="52" t="n">
        <x:f>$F8/12</x:f>
        <x:v>32250</x:v>
      </x:c>
      <x:c r="K8" s="52" t="n">
        <x:f>$F8/12</x:f>
        <x:v>32250</x:v>
      </x:c>
      <x:c r="L8" s="52" t="n">
        <x:f>$F8/12</x:f>
        <x:v>32250</x:v>
      </x:c>
      <x:c r="M8" s="52" t="n">
        <x:f>$F8/12</x:f>
        <x:v>32250</x:v>
      </x:c>
      <x:c r="N8" s="52" t="n">
        <x:f>$F8/12</x:f>
        <x:v>32250</x:v>
      </x:c>
      <x:c r="O8" s="52" t="n">
        <x:f>$F8/12</x:f>
        <x:v>32250</x:v>
      </x:c>
      <x:c r="P8" s="52" t="n">
        <x:f>$F8/12</x:f>
        <x:v>32250</x:v>
      </x:c>
      <x:c r="Q8" s="52" t="n">
        <x:f>$F8/12</x:f>
        <x:v>32250</x:v>
      </x:c>
      <x:c r="R8" s="52" t="n">
        <x:f>$F8/12</x:f>
        <x:v>32250</x:v>
      </x:c>
    </x:row>
    <x:row r="9">
      <x:c r="A9" s="27" t="str">
        <x:v>Honoraires</x:v>
      </x:c>
      <x:c r="B9" s="27" t="str">
        <x:v>Finance</x:v>
      </x:c>
      <x:c r="C9" s="27" t="str">
        <x:v>Inflation</x:v>
      </x:c>
      <x:c r="D9" s="50" t="n">
        <x:v>300000</x:v>
      </x:c>
      <x:c r="E9" s="30" t="n">
        <x:v>0.03</x:v>
      </x:c>
      <x:c r="F9" s="52" t="n">
        <x:f>D9*(1+E9+'02_Scénarios'!$B$16)</x:f>
        <x:v>316500</x:v>
      </x:c>
      <x:c r="G9" s="52" t="n">
        <x:f>$F9/12</x:f>
        <x:v>26375</x:v>
      </x:c>
      <x:c r="H9" s="52" t="n">
        <x:f>$F9/12</x:f>
        <x:v>26375</x:v>
      </x:c>
      <x:c r="I9" s="52" t="n">
        <x:f>$F9/12</x:f>
        <x:v>26375</x:v>
      </x:c>
      <x:c r="J9" s="52" t="n">
        <x:f>$F9/12</x:f>
        <x:v>26375</x:v>
      </x:c>
      <x:c r="K9" s="52" t="n">
        <x:f>$F9/12</x:f>
        <x:v>26375</x:v>
      </x:c>
      <x:c r="L9" s="52" t="n">
        <x:f>$F9/12</x:f>
        <x:v>26375</x:v>
      </x:c>
      <x:c r="M9" s="52" t="n">
        <x:f>$F9/12</x:f>
        <x:v>26375</x:v>
      </x:c>
      <x:c r="N9" s="52" t="n">
        <x:f>$F9/12</x:f>
        <x:v>26375</x:v>
      </x:c>
      <x:c r="O9" s="52" t="n">
        <x:f>$F9/12</x:f>
        <x:v>26375</x:v>
      </x:c>
      <x:c r="P9" s="52" t="n">
        <x:f>$F9/12</x:f>
        <x:v>26375</x:v>
      </x:c>
      <x:c r="Q9" s="52" t="n">
        <x:f>$F9/12</x:f>
        <x:v>26375</x:v>
      </x:c>
      <x:c r="R9" s="52" t="n">
        <x:f>$F9/12</x:f>
        <x:v>26375</x:v>
      </x:c>
    </x:row>
    <x:row r="10">
      <x:c r="A10" s="27" t="str">
        <x:v>Maintenance</x:v>
      </x:c>
      <x:c r="B10" s="27" t="str">
        <x:v>Operations</x:v>
      </x:c>
      <x:c r="C10" s="27" t="str">
        <x:v>Inflation</x:v>
      </x:c>
      <x:c r="D10" s="50" t="n">
        <x:v>480000</x:v>
      </x:c>
      <x:c r="E10" s="30" t="n">
        <x:v>0.04</x:v>
      </x:c>
      <x:c r="F10" s="52" t="n">
        <x:f>D10*(1+E10+'02_Scénarios'!$B$16)</x:f>
        <x:v>511200</x:v>
      </x:c>
      <x:c r="G10" s="52" t="n">
        <x:f>$F10/12</x:f>
        <x:v>42600</x:v>
      </x:c>
      <x:c r="H10" s="52" t="n">
        <x:f>$F10/12</x:f>
        <x:v>42600</x:v>
      </x:c>
      <x:c r="I10" s="52" t="n">
        <x:f>$F10/12</x:f>
        <x:v>42600</x:v>
      </x:c>
      <x:c r="J10" s="52" t="n">
        <x:f>$F10/12</x:f>
        <x:v>42600</x:v>
      </x:c>
      <x:c r="K10" s="52" t="n">
        <x:f>$F10/12</x:f>
        <x:v>42600</x:v>
      </x:c>
      <x:c r="L10" s="52" t="n">
        <x:f>$F10/12</x:f>
        <x:v>42600</x:v>
      </x:c>
      <x:c r="M10" s="52" t="n">
        <x:f>$F10/12</x:f>
        <x:v>42600</x:v>
      </x:c>
      <x:c r="N10" s="52" t="n">
        <x:f>$F10/12</x:f>
        <x:v>42600</x:v>
      </x:c>
      <x:c r="O10" s="52" t="n">
        <x:f>$F10/12</x:f>
        <x:v>42600</x:v>
      </x:c>
      <x:c r="P10" s="52" t="n">
        <x:f>$F10/12</x:f>
        <x:v>42600</x:v>
      </x:c>
      <x:c r="Q10" s="52" t="n">
        <x:f>$F10/12</x:f>
        <x:v>42600</x:v>
      </x:c>
      <x:c r="R10" s="52" t="n">
        <x:f>$F10/12</x:f>
        <x:v>42600</x:v>
      </x:c>
    </x:row>
    <x:row r="11">
      <x:c r="A11" s="27" t="str">
        <x:v>Autres charges</x:v>
      </x:c>
      <x:c r="B11" s="27" t="str">
        <x:v>G&amp;A</x:v>
      </x:c>
      <x:c r="C11" s="27" t="str">
        <x:v>Inflation</x:v>
      </x:c>
      <x:c r="D11" s="50" t="n">
        <x:v>420000</x:v>
      </x:c>
      <x:c r="E11" s="30" t="n">
        <x:v>0.025</x:v>
      </x:c>
      <x:c r="F11" s="52" t="n">
        <x:f>D11*(1+E11+'02_Scénarios'!$B$16)</x:f>
        <x:v>440999.99999999994</x:v>
      </x:c>
      <x:c r="G11" s="52" t="n">
        <x:f>$F11/12</x:f>
        <x:v>36749.99999999999</x:v>
      </x:c>
      <x:c r="H11" s="52" t="n">
        <x:f>$F11/12</x:f>
        <x:v>36749.99999999999</x:v>
      </x:c>
      <x:c r="I11" s="52" t="n">
        <x:f>$F11/12</x:f>
        <x:v>36749.99999999999</x:v>
      </x:c>
      <x:c r="J11" s="52" t="n">
        <x:f>$F11/12</x:f>
        <x:v>36749.99999999999</x:v>
      </x:c>
      <x:c r="K11" s="52" t="n">
        <x:f>$F11/12</x:f>
        <x:v>36749.99999999999</x:v>
      </x:c>
      <x:c r="L11" s="52" t="n">
        <x:f>$F11/12</x:f>
        <x:v>36749.99999999999</x:v>
      </x:c>
      <x:c r="M11" s="52" t="n">
        <x:f>$F11/12</x:f>
        <x:v>36749.99999999999</x:v>
      </x:c>
      <x:c r="N11" s="52" t="n">
        <x:f>$F11/12</x:f>
        <x:v>36749.99999999999</x:v>
      </x:c>
      <x:c r="O11" s="52" t="n">
        <x:f>$F11/12</x:f>
        <x:v>36749.99999999999</x:v>
      </x:c>
      <x:c r="P11" s="52" t="n">
        <x:f>$F11/12</x:f>
        <x:v>36749.99999999999</x:v>
      </x:c>
      <x:c r="Q11" s="52" t="n">
        <x:f>$F11/12</x:f>
        <x:v>36749.99999999999</x:v>
      </x:c>
      <x:c r="R11" s="52" t="n">
        <x:f>$F11/12</x:f>
        <x:v>36749.99999999999</x:v>
      </x:c>
    </x:row>
    <x:row r="12"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</x:row>
    <x:row r="13">
      <x:c r="A13" s="47" t="str">
        <x:v>TOTAL OPEX HORS RH / D&amp;A</x:v>
      </x:c>
      <x:c r="B13" s="47"/>
      <x:c r="C13" s="47"/>
      <x:c r="D13" s="53" t="n">
        <x:f>SUM(D4:D11)</x:f>
        <x:v>13330000</x:v>
      </x:c>
      <x:c r="E13" s="53" t="n">
        <x:f>SUM(E4:E11)</x:f>
        <x:v>0.675</x:v>
      </x:c>
      <x:c r="F13" s="53" t="n">
        <x:f>SUM(F4:F11)</x:f>
        <x:v>13825125</x:v>
      </x:c>
      <x:c r="G13" s="53" t="n">
        <x:f>SUM(G4:G11)</x:f>
        <x:v>1152093.75</x:v>
      </x:c>
      <x:c r="H13" s="53" t="n">
        <x:f>SUM(H4:H11)</x:f>
        <x:v>1152093.75</x:v>
      </x:c>
      <x:c r="I13" s="53" t="n">
        <x:f>SUM(I4:I11)</x:f>
        <x:v>1152093.75</x:v>
      </x:c>
      <x:c r="J13" s="53" t="n">
        <x:f>SUM(J4:J11)</x:f>
        <x:v>1152093.75</x:v>
      </x:c>
      <x:c r="K13" s="53" t="n">
        <x:f>SUM(K4:K11)</x:f>
        <x:v>1152093.75</x:v>
      </x:c>
      <x:c r="L13" s="53" t="n">
        <x:f>SUM(L4:L11)</x:f>
        <x:v>1152093.75</x:v>
      </x:c>
      <x:c r="M13" s="53" t="n">
        <x:f>SUM(M4:M11)</x:f>
        <x:v>1152093.75</x:v>
      </x:c>
      <x:c r="N13" s="53" t="n">
        <x:f>SUM(N4:N11)</x:f>
        <x:v>1152093.75</x:v>
      </x:c>
      <x:c r="O13" s="53" t="n">
        <x:f>SUM(O4:O11)</x:f>
        <x:v>1152093.75</x:v>
      </x:c>
      <x:c r="P13" s="53" t="n">
        <x:f>SUM(P4:P11)</x:f>
        <x:v>1152093.75</x:v>
      </x:c>
      <x:c r="Q13" s="53" t="n">
        <x:f>SUM(Q4:Q11)</x:f>
        <x:v>1152093.75</x:v>
      </x:c>
      <x:c r="R13" s="53" t="n">
        <x:f>SUM(R4:R11)</x:f>
        <x:v>1152093.75</x:v>
      </x:c>
    </x:row>
  </x:sheetData>
  <x:mergeCells>
    <x:mergeCell ref="A1:R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8" customHeight="1">
      <x:c r="A1" s="5" t="str">
        <x:v>06 — WORKFORCE PLANNING &amp; MASSE SALARIALE</x:v>
      </x:c>
    </x:row>
    <x:row r="3">
      <x:c r="A3" s="19" t="str">
        <x:v>Poste</x:v>
      </x:c>
      <x:c r="B3" s="19" t="str">
        <x:v>Département</x:v>
      </x:c>
      <x:c r="C3" s="19" t="str">
        <x:v>ETP</x:v>
      </x:c>
      <x:c r="D3" s="19" t="str">
        <x:v>Salaire brut mensuel</x:v>
      </x:c>
      <x:c r="E3" s="19" t="str">
        <x:v>Mois entrée</x:v>
      </x:c>
      <x:c r="F3" s="19" t="str">
        <x:v>Prime %</x:v>
      </x:c>
      <x:c r="G3" s="19" t="str">
        <x:v>Charges patronales %</x:v>
      </x:c>
      <x:c r="H3" s="19" t="str">
        <x:v>Coût annuel</x:v>
      </x:c>
      <x:c r="I3" s="19" t="str">
        <x:v>Jan</x:v>
      </x:c>
      <x:c r="J3" s="19" t="str">
        <x:v>Fév</x:v>
      </x:c>
      <x:c r="K3" s="19" t="str">
        <x:v>Mar</x:v>
      </x:c>
      <x:c r="L3" s="19" t="str">
        <x:v>Avr</x:v>
      </x:c>
      <x:c r="M3" s="19" t="str">
        <x:v>Mai</x:v>
      </x:c>
      <x:c r="N3" s="19" t="str">
        <x:v>Juin</x:v>
      </x:c>
      <x:c r="O3" s="19" t="str">
        <x:v>Juil</x:v>
      </x:c>
      <x:c r="P3" s="19" t="str">
        <x:v>Aoû</x:v>
      </x:c>
      <x:c r="Q3" s="19" t="str">
        <x:v>Sep</x:v>
      </x:c>
      <x:c r="R3" s="19" t="str">
        <x:v>Oct</x:v>
      </x:c>
      <x:c r="S3" s="19" t="str">
        <x:v>Nov</x:v>
      </x:c>
      <x:c r="T3" s="19" t="str">
        <x:v>Déc</x:v>
      </x:c>
    </x:row>
    <x:row r="4">
      <x:c r="A4" s="27" t="str">
        <x:v>Direction</x:v>
      </x:c>
      <x:c r="B4" s="27" t="str">
        <x:v>G&amp;A</x:v>
      </x:c>
      <x:c r="C4" s="27" t="n">
        <x:v>1</x:v>
      </x:c>
      <x:c r="D4" s="50" t="n">
        <x:v>45000</x:v>
      </x:c>
      <x:c r="E4" s="50" t="n">
        <x:v>1</x:v>
      </x:c>
      <x:c r="F4" s="30" t="n">
        <x:v>0.1</x:v>
      </x:c>
      <x:c r="G4" s="44" t="n">
        <x:f>'01_Paramètres'!$B$9</x:f>
        <x:v>0.22</x:v>
      </x:c>
      <x:c r="H4" s="52" t="n">
        <x:f>SUM(I4:T4)</x:f>
        <x:v>753667.2000000001</x:v>
      </x:c>
      <x:c r="I4" s="52" t="n">
        <x:f>IF(1&lt;$E4,0,$C4*$D4*(1+$F4)*(1+$G4)*(1+'02_Scénarios'!$B$17))</x:f>
        <x:v>62805.60000000001</x:v>
      </x:c>
      <x:c r="J4" s="52" t="n">
        <x:f>IF(2&lt;$E4,0,$C4*$D4*(1+$F4)*(1+$G4)*(1+'02_Scénarios'!$B$17))</x:f>
        <x:v>62805.60000000001</x:v>
      </x:c>
      <x:c r="K4" s="52" t="n">
        <x:f>IF(3&lt;$E4,0,$C4*$D4*(1+$F4)*(1+$G4)*(1+'02_Scénarios'!$B$17))</x:f>
        <x:v>62805.60000000001</x:v>
      </x:c>
      <x:c r="L4" s="52" t="n">
        <x:f>IF(4&lt;$E4,0,$C4*$D4*(1+$F4)*(1+$G4)*(1+'02_Scénarios'!$B$17))</x:f>
        <x:v>62805.60000000001</x:v>
      </x:c>
      <x:c r="M4" s="52" t="n">
        <x:f>IF(5&lt;$E4,0,$C4*$D4*(1+$F4)*(1+$G4)*(1+'02_Scénarios'!$B$17))</x:f>
        <x:v>62805.60000000001</x:v>
      </x:c>
      <x:c r="N4" s="52" t="n">
        <x:f>IF(6&lt;$E4,0,$C4*$D4*(1+$F4)*(1+$G4)*(1+'02_Scénarios'!$B$17))</x:f>
        <x:v>62805.60000000001</x:v>
      </x:c>
      <x:c r="O4" s="52" t="n">
        <x:f>IF(7&lt;$E4,0,$C4*$D4*(1+$F4)*(1+$G4)*(1+'02_Scénarios'!$B$17))</x:f>
        <x:v>62805.60000000001</x:v>
      </x:c>
      <x:c r="P4" s="52" t="n">
        <x:f>IF(8&lt;$E4,0,$C4*$D4*(1+$F4)*(1+$G4)*(1+'02_Scénarios'!$B$17))</x:f>
        <x:v>62805.60000000001</x:v>
      </x:c>
      <x:c r="Q4" s="52" t="n">
        <x:f>IF(9&lt;$E4,0,$C4*$D4*(1+$F4)*(1+$G4)*(1+'02_Scénarios'!$B$17))</x:f>
        <x:v>62805.60000000001</x:v>
      </x:c>
      <x:c r="R4" s="52" t="n">
        <x:f>IF(10&lt;$E4,0,$C4*$D4*(1+$F4)*(1+$G4)*(1+'02_Scénarios'!$B$17))</x:f>
        <x:v>62805.60000000001</x:v>
      </x:c>
      <x:c r="S4" s="52" t="n">
        <x:f>IF(11&lt;$E4,0,$C4*$D4*(1+$F4)*(1+$G4)*(1+'02_Scénarios'!$B$17))</x:f>
        <x:v>62805.60000000001</x:v>
      </x:c>
      <x:c r="T4" s="52" t="n">
        <x:f>IF(12&lt;$E4,0,$C4*$D4*(1+$F4)*(1+$G4)*(1+'02_Scénarios'!$B$17))</x:f>
        <x:v>62805.60000000001</x:v>
      </x:c>
    </x:row>
    <x:row r="5">
      <x:c r="A5" s="27" t="str">
        <x:v>Commercial</x:v>
      </x:c>
      <x:c r="B5" s="27" t="str">
        <x:v>Sales</x:v>
      </x:c>
      <x:c r="C5" s="27" t="n">
        <x:v>3</x:v>
      </x:c>
      <x:c r="D5" s="50" t="n">
        <x:v>18000</x:v>
      </x:c>
      <x:c r="E5" s="50" t="n">
        <x:v>1</x:v>
      </x:c>
      <x:c r="F5" s="30" t="n">
        <x:v>0.08</x:v>
      </x:c>
      <x:c r="G5" s="44" t="n">
        <x:f>'01_Paramètres'!$B$9</x:f>
        <x:v>0.22</x:v>
      </x:c>
      <x:c r="H5" s="52" t="n">
        <x:f>SUM(I5:T5)</x:f>
        <x:v>887956.992</x:v>
      </x:c>
      <x:c r="I5" s="52" t="n">
        <x:f>IF(1&lt;$E5,0,$C5*$D5*(1+$F5)*(1+$G5)*(1+'02_Scénarios'!$B$17))</x:f>
        <x:v>73996.41600000001</x:v>
      </x:c>
      <x:c r="J5" s="52" t="n">
        <x:f>IF(2&lt;$E5,0,$C5*$D5*(1+$F5)*(1+$G5)*(1+'02_Scénarios'!$B$17))</x:f>
        <x:v>73996.41600000001</x:v>
      </x:c>
      <x:c r="K5" s="52" t="n">
        <x:f>IF(3&lt;$E5,0,$C5*$D5*(1+$F5)*(1+$G5)*(1+'02_Scénarios'!$B$17))</x:f>
        <x:v>73996.41600000001</x:v>
      </x:c>
      <x:c r="L5" s="52" t="n">
        <x:f>IF(4&lt;$E5,0,$C5*$D5*(1+$F5)*(1+$G5)*(1+'02_Scénarios'!$B$17))</x:f>
        <x:v>73996.41600000001</x:v>
      </x:c>
      <x:c r="M5" s="52" t="n">
        <x:f>IF(5&lt;$E5,0,$C5*$D5*(1+$F5)*(1+$G5)*(1+'02_Scénarios'!$B$17))</x:f>
        <x:v>73996.41600000001</x:v>
      </x:c>
      <x:c r="N5" s="52" t="n">
        <x:f>IF(6&lt;$E5,0,$C5*$D5*(1+$F5)*(1+$G5)*(1+'02_Scénarios'!$B$17))</x:f>
        <x:v>73996.41600000001</x:v>
      </x:c>
      <x:c r="O5" s="52" t="n">
        <x:f>IF(7&lt;$E5,0,$C5*$D5*(1+$F5)*(1+$G5)*(1+'02_Scénarios'!$B$17))</x:f>
        <x:v>73996.41600000001</x:v>
      </x:c>
      <x:c r="P5" s="52" t="n">
        <x:f>IF(8&lt;$E5,0,$C5*$D5*(1+$F5)*(1+$G5)*(1+'02_Scénarios'!$B$17))</x:f>
        <x:v>73996.41600000001</x:v>
      </x:c>
      <x:c r="Q5" s="52" t="n">
        <x:f>IF(9&lt;$E5,0,$C5*$D5*(1+$F5)*(1+$G5)*(1+'02_Scénarios'!$B$17))</x:f>
        <x:v>73996.41600000001</x:v>
      </x:c>
      <x:c r="R5" s="52" t="n">
        <x:f>IF(10&lt;$E5,0,$C5*$D5*(1+$F5)*(1+$G5)*(1+'02_Scénarios'!$B$17))</x:f>
        <x:v>73996.41600000001</x:v>
      </x:c>
      <x:c r="S5" s="52" t="n">
        <x:f>IF(11&lt;$E5,0,$C5*$D5*(1+$F5)*(1+$G5)*(1+'02_Scénarios'!$B$17))</x:f>
        <x:v>73996.41600000001</x:v>
      </x:c>
      <x:c r="T5" s="52" t="n">
        <x:f>IF(12&lt;$E5,0,$C5*$D5*(1+$F5)*(1+$G5)*(1+'02_Scénarios'!$B$17))</x:f>
        <x:v>73996.41600000001</x:v>
      </x:c>
    </x:row>
    <x:row r="6">
      <x:c r="A6" s="27" t="str">
        <x:v>Operations</x:v>
      </x:c>
      <x:c r="B6" s="27" t="str">
        <x:v>Operations</x:v>
      </x:c>
      <x:c r="C6" s="27" t="n">
        <x:v>5</x:v>
      </x:c>
      <x:c r="D6" s="50" t="n">
        <x:v>12000</x:v>
      </x:c>
      <x:c r="E6" s="50" t="n">
        <x:v>1</x:v>
      </x:c>
      <x:c r="F6" s="30" t="n">
        <x:v>0.05</x:v>
      </x:c>
      <x:c r="G6" s="44" t="n">
        <x:f>'01_Paramètres'!$B$9</x:f>
        <x:v>0.22</x:v>
      </x:c>
      <x:c r="H6" s="52" t="n">
        <x:f>SUM(I6:T6)</x:f>
        <x:v>959212.8000000002</x:v>
      </x:c>
      <x:c r="I6" s="52" t="n">
        <x:f>IF(1&lt;$E6,0,$C6*$D6*(1+$F6)*(1+$G6)*(1+'02_Scénarios'!$B$17))</x:f>
        <x:v>79934.40000000001</x:v>
      </x:c>
      <x:c r="J6" s="52" t="n">
        <x:f>IF(2&lt;$E6,0,$C6*$D6*(1+$F6)*(1+$G6)*(1+'02_Scénarios'!$B$17))</x:f>
        <x:v>79934.40000000001</x:v>
      </x:c>
      <x:c r="K6" s="52" t="n">
        <x:f>IF(3&lt;$E6,0,$C6*$D6*(1+$F6)*(1+$G6)*(1+'02_Scénarios'!$B$17))</x:f>
        <x:v>79934.40000000001</x:v>
      </x:c>
      <x:c r="L6" s="52" t="n">
        <x:f>IF(4&lt;$E6,0,$C6*$D6*(1+$F6)*(1+$G6)*(1+'02_Scénarios'!$B$17))</x:f>
        <x:v>79934.40000000001</x:v>
      </x:c>
      <x:c r="M6" s="52" t="n">
        <x:f>IF(5&lt;$E6,0,$C6*$D6*(1+$F6)*(1+$G6)*(1+'02_Scénarios'!$B$17))</x:f>
        <x:v>79934.40000000001</x:v>
      </x:c>
      <x:c r="N6" s="52" t="n">
        <x:f>IF(6&lt;$E6,0,$C6*$D6*(1+$F6)*(1+$G6)*(1+'02_Scénarios'!$B$17))</x:f>
        <x:v>79934.40000000001</x:v>
      </x:c>
      <x:c r="O6" s="52" t="n">
        <x:f>IF(7&lt;$E6,0,$C6*$D6*(1+$F6)*(1+$G6)*(1+'02_Scénarios'!$B$17))</x:f>
        <x:v>79934.40000000001</x:v>
      </x:c>
      <x:c r="P6" s="52" t="n">
        <x:f>IF(8&lt;$E6,0,$C6*$D6*(1+$F6)*(1+$G6)*(1+'02_Scénarios'!$B$17))</x:f>
        <x:v>79934.40000000001</x:v>
      </x:c>
      <x:c r="Q6" s="52" t="n">
        <x:f>IF(9&lt;$E6,0,$C6*$D6*(1+$F6)*(1+$G6)*(1+'02_Scénarios'!$B$17))</x:f>
        <x:v>79934.40000000001</x:v>
      </x:c>
      <x:c r="R6" s="52" t="n">
        <x:f>IF(10&lt;$E6,0,$C6*$D6*(1+$F6)*(1+$G6)*(1+'02_Scénarios'!$B$17))</x:f>
        <x:v>79934.40000000001</x:v>
      </x:c>
      <x:c r="S6" s="52" t="n">
        <x:f>IF(11&lt;$E6,0,$C6*$D6*(1+$F6)*(1+$G6)*(1+'02_Scénarios'!$B$17))</x:f>
        <x:v>79934.40000000001</x:v>
      </x:c>
      <x:c r="T6" s="52" t="n">
        <x:f>IF(12&lt;$E6,0,$C6*$D6*(1+$F6)*(1+$G6)*(1+'02_Scénarios'!$B$17))</x:f>
        <x:v>79934.40000000001</x:v>
      </x:c>
    </x:row>
    <x:row r="7">
      <x:c r="A7" s="27" t="str">
        <x:v>Logistique</x:v>
      </x:c>
      <x:c r="B7" s="27" t="str">
        <x:v>Logistic</x:v>
      </x:c>
      <x:c r="C7" s="27" t="n">
        <x:v>3</x:v>
      </x:c>
      <x:c r="D7" s="50" t="n">
        <x:v>11000</x:v>
      </x:c>
      <x:c r="E7" s="50" t="n">
        <x:v>1</x:v>
      </x:c>
      <x:c r="F7" s="30" t="n">
        <x:v>0.05</x:v>
      </x:c>
      <x:c r="G7" s="44" t="n">
        <x:f>'01_Paramètres'!$B$9</x:f>
        <x:v>0.22</x:v>
      </x:c>
      <x:c r="H7" s="52" t="n">
        <x:f>SUM(I7:T7)</x:f>
        <x:v>527567.0399999999</x:v>
      </x:c>
      <x:c r="I7" s="52" t="n">
        <x:f>IF(1&lt;$E7,0,$C7*$D7*(1+$F7)*(1+$G7)*(1+'02_Scénarios'!$B$17))</x:f>
        <x:v>43963.92</x:v>
      </x:c>
      <x:c r="J7" s="52" t="n">
        <x:f>IF(2&lt;$E7,0,$C7*$D7*(1+$F7)*(1+$G7)*(1+'02_Scénarios'!$B$17))</x:f>
        <x:v>43963.92</x:v>
      </x:c>
      <x:c r="K7" s="52" t="n">
        <x:f>IF(3&lt;$E7,0,$C7*$D7*(1+$F7)*(1+$G7)*(1+'02_Scénarios'!$B$17))</x:f>
        <x:v>43963.92</x:v>
      </x:c>
      <x:c r="L7" s="52" t="n">
        <x:f>IF(4&lt;$E7,0,$C7*$D7*(1+$F7)*(1+$G7)*(1+'02_Scénarios'!$B$17))</x:f>
        <x:v>43963.92</x:v>
      </x:c>
      <x:c r="M7" s="52" t="n">
        <x:f>IF(5&lt;$E7,0,$C7*$D7*(1+$F7)*(1+$G7)*(1+'02_Scénarios'!$B$17))</x:f>
        <x:v>43963.92</x:v>
      </x:c>
      <x:c r="N7" s="52" t="n">
        <x:f>IF(6&lt;$E7,0,$C7*$D7*(1+$F7)*(1+$G7)*(1+'02_Scénarios'!$B$17))</x:f>
        <x:v>43963.92</x:v>
      </x:c>
      <x:c r="O7" s="52" t="n">
        <x:f>IF(7&lt;$E7,0,$C7*$D7*(1+$F7)*(1+$G7)*(1+'02_Scénarios'!$B$17))</x:f>
        <x:v>43963.92</x:v>
      </x:c>
      <x:c r="P7" s="52" t="n">
        <x:f>IF(8&lt;$E7,0,$C7*$D7*(1+$F7)*(1+$G7)*(1+'02_Scénarios'!$B$17))</x:f>
        <x:v>43963.92</x:v>
      </x:c>
      <x:c r="Q7" s="52" t="n">
        <x:f>IF(9&lt;$E7,0,$C7*$D7*(1+$F7)*(1+$G7)*(1+'02_Scénarios'!$B$17))</x:f>
        <x:v>43963.92</x:v>
      </x:c>
      <x:c r="R7" s="52" t="n">
        <x:f>IF(10&lt;$E7,0,$C7*$D7*(1+$F7)*(1+$G7)*(1+'02_Scénarios'!$B$17))</x:f>
        <x:v>43963.92</x:v>
      </x:c>
      <x:c r="S7" s="52" t="n">
        <x:f>IF(11&lt;$E7,0,$C7*$D7*(1+$F7)*(1+$G7)*(1+'02_Scénarios'!$B$17))</x:f>
        <x:v>43963.92</x:v>
      </x:c>
      <x:c r="T7" s="52" t="n">
        <x:f>IF(12&lt;$E7,0,$C7*$D7*(1+$F7)*(1+$G7)*(1+'02_Scénarios'!$B$17))</x:f>
        <x:v>43963.92</x:v>
      </x:c>
    </x:row>
    <x:row r="8">
      <x:c r="A8" s="27" t="str">
        <x:v>Finance/Admin</x:v>
      </x:c>
      <x:c r="B8" s="27" t="str">
        <x:v>Finance</x:v>
      </x:c>
      <x:c r="C8" s="27" t="n">
        <x:v>2</x:v>
      </x:c>
      <x:c r="D8" s="50" t="n">
        <x:v>16000</x:v>
      </x:c>
      <x:c r="E8" s="50" t="n">
        <x:v>1</x:v>
      </x:c>
      <x:c r="F8" s="30" t="n">
        <x:v>0.05</x:v>
      </x:c>
      <x:c r="G8" s="44" t="n">
        <x:f>'01_Paramètres'!$B$9</x:f>
        <x:v>0.22</x:v>
      </x:c>
      <x:c r="H8" s="52" t="n">
        <x:f>SUM(I8:T8)</x:f>
        <x:v>511580.16</x:v>
      </x:c>
      <x:c r="I8" s="52" t="n">
        <x:f>IF(1&lt;$E8,0,$C8*$D8*(1+$F8)*(1+$G8)*(1+'02_Scénarios'!$B$17))</x:f>
        <x:v>42631.68</x:v>
      </x:c>
      <x:c r="J8" s="52" t="n">
        <x:f>IF(2&lt;$E8,0,$C8*$D8*(1+$F8)*(1+$G8)*(1+'02_Scénarios'!$B$17))</x:f>
        <x:v>42631.68</x:v>
      </x:c>
      <x:c r="K8" s="52" t="n">
        <x:f>IF(3&lt;$E8,0,$C8*$D8*(1+$F8)*(1+$G8)*(1+'02_Scénarios'!$B$17))</x:f>
        <x:v>42631.68</x:v>
      </x:c>
      <x:c r="L8" s="52" t="n">
        <x:f>IF(4&lt;$E8,0,$C8*$D8*(1+$F8)*(1+$G8)*(1+'02_Scénarios'!$B$17))</x:f>
        <x:v>42631.68</x:v>
      </x:c>
      <x:c r="M8" s="52" t="n">
        <x:f>IF(5&lt;$E8,0,$C8*$D8*(1+$F8)*(1+$G8)*(1+'02_Scénarios'!$B$17))</x:f>
        <x:v>42631.68</x:v>
      </x:c>
      <x:c r="N8" s="52" t="n">
        <x:f>IF(6&lt;$E8,0,$C8*$D8*(1+$F8)*(1+$G8)*(1+'02_Scénarios'!$B$17))</x:f>
        <x:v>42631.68</x:v>
      </x:c>
      <x:c r="O8" s="52" t="n">
        <x:f>IF(7&lt;$E8,0,$C8*$D8*(1+$F8)*(1+$G8)*(1+'02_Scénarios'!$B$17))</x:f>
        <x:v>42631.68</x:v>
      </x:c>
      <x:c r="P8" s="52" t="n">
        <x:f>IF(8&lt;$E8,0,$C8*$D8*(1+$F8)*(1+$G8)*(1+'02_Scénarios'!$B$17))</x:f>
        <x:v>42631.68</x:v>
      </x:c>
      <x:c r="Q8" s="52" t="n">
        <x:f>IF(9&lt;$E8,0,$C8*$D8*(1+$F8)*(1+$G8)*(1+'02_Scénarios'!$B$17))</x:f>
        <x:v>42631.68</x:v>
      </x:c>
      <x:c r="R8" s="52" t="n">
        <x:f>IF(10&lt;$E8,0,$C8*$D8*(1+$F8)*(1+$G8)*(1+'02_Scénarios'!$B$17))</x:f>
        <x:v>42631.68</x:v>
      </x:c>
      <x:c r="S8" s="52" t="n">
        <x:f>IF(11&lt;$E8,0,$C8*$D8*(1+$F8)*(1+$G8)*(1+'02_Scénarios'!$B$17))</x:f>
        <x:v>42631.68</x:v>
      </x:c>
      <x:c r="T8" s="52" t="n">
        <x:f>IF(12&lt;$E8,0,$C8*$D8*(1+$F8)*(1+$G8)*(1+'02_Scénarios'!$B$17))</x:f>
        <x:v>42631.68</x:v>
      </x:c>
    </x:row>
    <x:row r="9">
      <x:c r="A9" s="27" t="str">
        <x:v>Recrutements prévus</x:v>
      </x:c>
      <x:c r="B9" s="27" t="str">
        <x:v>Operations</x:v>
      </x:c>
      <x:c r="C9" s="27" t="n">
        <x:v>2</x:v>
      </x:c>
      <x:c r="D9" s="50" t="n">
        <x:v>13000</x:v>
      </x:c>
      <x:c r="E9" s="50" t="n">
        <x:v>7</x:v>
      </x:c>
      <x:c r="F9" s="30" t="n">
        <x:v>0.03</x:v>
      </x:c>
      <x:c r="G9" s="44" t="n">
        <x:f>'01_Paramètres'!$B$9</x:f>
        <x:v>0.22</x:v>
      </x:c>
      <x:c r="H9" s="52" t="n">
        <x:f>SUM(I9:T9)</x:f>
        <x:v>203870.784</x:v>
      </x:c>
      <x:c r="I9" s="52" t="n">
        <x:f>IF(1&lt;$E9,0,$C9*$D9*(1+$F9)*(1+$G9)*(1+'02_Scénarios'!$B$17))</x:f>
        <x:v>0</x:v>
      </x:c>
      <x:c r="J9" s="52" t="n">
        <x:f>IF(2&lt;$E9,0,$C9*$D9*(1+$F9)*(1+$G9)*(1+'02_Scénarios'!$B$17))</x:f>
        <x:v>0</x:v>
      </x:c>
      <x:c r="K9" s="52" t="n">
        <x:f>IF(3&lt;$E9,0,$C9*$D9*(1+$F9)*(1+$G9)*(1+'02_Scénarios'!$B$17))</x:f>
        <x:v>0</x:v>
      </x:c>
      <x:c r="L9" s="52" t="n">
        <x:f>IF(4&lt;$E9,0,$C9*$D9*(1+$F9)*(1+$G9)*(1+'02_Scénarios'!$B$17))</x:f>
        <x:v>0</x:v>
      </x:c>
      <x:c r="M9" s="52" t="n">
        <x:f>IF(5&lt;$E9,0,$C9*$D9*(1+$F9)*(1+$G9)*(1+'02_Scénarios'!$B$17))</x:f>
        <x:v>0</x:v>
      </x:c>
      <x:c r="N9" s="52" t="n">
        <x:f>IF(6&lt;$E9,0,$C9*$D9*(1+$F9)*(1+$G9)*(1+'02_Scénarios'!$B$17))</x:f>
        <x:v>0</x:v>
      </x:c>
      <x:c r="O9" s="52" t="n">
        <x:f>IF(7&lt;$E9,0,$C9*$D9*(1+$F9)*(1+$G9)*(1+'02_Scénarios'!$B$17))</x:f>
        <x:v>33978.464</x:v>
      </x:c>
      <x:c r="P9" s="52" t="n">
        <x:f>IF(8&lt;$E9,0,$C9*$D9*(1+$F9)*(1+$G9)*(1+'02_Scénarios'!$B$17))</x:f>
        <x:v>33978.464</x:v>
      </x:c>
      <x:c r="Q9" s="52" t="n">
        <x:f>IF(9&lt;$E9,0,$C9*$D9*(1+$F9)*(1+$G9)*(1+'02_Scénarios'!$B$17))</x:f>
        <x:v>33978.464</x:v>
      </x:c>
      <x:c r="R9" s="52" t="n">
        <x:f>IF(10&lt;$E9,0,$C9*$D9*(1+$F9)*(1+$G9)*(1+'02_Scénarios'!$B$17))</x:f>
        <x:v>33978.464</x:v>
      </x:c>
      <x:c r="S9" s="52" t="n">
        <x:f>IF(11&lt;$E9,0,$C9*$D9*(1+$F9)*(1+$G9)*(1+'02_Scénarios'!$B$17))</x:f>
        <x:v>33978.464</x:v>
      </x:c>
      <x:c r="T9" s="52" t="n">
        <x:f>IF(12&lt;$E9,0,$C9*$D9*(1+$F9)*(1+$G9)*(1+'02_Scénarios'!$B$17))</x:f>
        <x:v>33978.464</x:v>
      </x:c>
    </x:row>
    <x:row r="10"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</x:row>
    <x:row r="11">
      <x:c r="A11" s="47" t="str">
        <x:v>TOTAL MASSE SALARIALE</x:v>
      </x:c>
      <x:c r="B11" s="47"/>
      <x:c r="C11" s="47"/>
      <x:c r="D11" s="53"/>
      <x:c r="E11" s="53"/>
      <x:c r="F11" s="53"/>
      <x:c r="G11" s="53"/>
      <x:c r="H11" s="53" t="n">
        <x:f>SUM(H4:H9)</x:f>
        <x:v>3843854.9760000003</x:v>
      </x:c>
      <x:c r="I11" s="53" t="n">
        <x:f>SUM(I4:I9)</x:f>
        <x:v>303332.016</x:v>
      </x:c>
      <x:c r="J11" s="53" t="n">
        <x:f>SUM(J4:J9)</x:f>
        <x:v>303332.016</x:v>
      </x:c>
      <x:c r="K11" s="53" t="n">
        <x:f>SUM(K4:K9)</x:f>
        <x:v>303332.016</x:v>
      </x:c>
      <x:c r="L11" s="53" t="n">
        <x:f>SUM(L4:L9)</x:f>
        <x:v>303332.016</x:v>
      </x:c>
      <x:c r="M11" s="53" t="n">
        <x:f>SUM(M4:M9)</x:f>
        <x:v>303332.016</x:v>
      </x:c>
      <x:c r="N11" s="53" t="n">
        <x:f>SUM(N4:N9)</x:f>
        <x:v>303332.016</x:v>
      </x:c>
      <x:c r="O11" s="53" t="n">
        <x:f>SUM(O4:O9)</x:f>
        <x:v>337310.48</x:v>
      </x:c>
      <x:c r="P11" s="53" t="n">
        <x:f>SUM(P4:P9)</x:f>
        <x:v>337310.48</x:v>
      </x:c>
      <x:c r="Q11" s="53" t="n">
        <x:f>SUM(Q4:Q9)</x:f>
        <x:v>337310.48</x:v>
      </x:c>
      <x:c r="R11" s="53" t="n">
        <x:f>SUM(R4:R9)</x:f>
        <x:v>337310.48</x:v>
      </x:c>
      <x:c r="S11" s="53" t="n">
        <x:f>SUM(S4:S9)</x:f>
        <x:v>337310.48</x:v>
      </x:c>
      <x:c r="T11" s="53" t="n">
        <x:f>SUM(T4:T9)</x:f>
        <x:v>337310.48</x:v>
      </x:c>
    </x:row>
  </x:sheetData>
  <x:mergeCells>
    <x:mergeCell ref="A1:T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8" customHeight="1">
      <x:c r="A1" s="5" t="str">
        <x:v>07 — CAPEX &amp; AMORTISSEMENTS</x:v>
      </x:c>
    </x:row>
    <x:row r="3">
      <x:c r="A3" s="19" t="str">
        <x:v>Projet</x:v>
      </x:c>
      <x:c r="B3" s="19" t="str">
        <x:v>Catégorie</x:v>
      </x:c>
      <x:c r="C3" s="19" t="str">
        <x:v>CAPEX (MAD)</x:v>
      </x:c>
      <x:c r="D3" s="19" t="str">
        <x:v>Mois mise en service</x:v>
      </x:c>
      <x:c r="E3" s="19" t="str">
        <x:v>Durée (ans)</x:v>
      </x:c>
      <x:c r="F3" s="19" t="str">
        <x:v>CAPEX scénario</x:v>
      </x:c>
      <x:c r="G3" s="19" t="str">
        <x:v>Amort. annuel</x:v>
      </x:c>
      <x:c r="H3" s="19" t="str">
        <x:v>Cash-out</x:v>
      </x:c>
      <x:c r="I3" s="19" t="str">
        <x:v>Jan</x:v>
      </x:c>
      <x:c r="J3" s="19" t="str">
        <x:v>Fév</x:v>
      </x:c>
      <x:c r="K3" s="19" t="str">
        <x:v>Mar</x:v>
      </x:c>
      <x:c r="L3" s="19" t="str">
        <x:v>Avr</x:v>
      </x:c>
      <x:c r="M3" s="19" t="str">
        <x:v>Mai</x:v>
      </x:c>
      <x:c r="N3" s="19" t="str">
        <x:v>Juin</x:v>
      </x:c>
      <x:c r="O3" s="19" t="str">
        <x:v>Juil</x:v>
      </x:c>
      <x:c r="P3" s="19" t="str">
        <x:v>Aoû</x:v>
      </x:c>
      <x:c r="Q3" s="19" t="str">
        <x:v>Sep</x:v>
      </x:c>
      <x:c r="R3" s="19" t="str">
        <x:v>Oct</x:v>
      </x:c>
      <x:c r="S3" s="19" t="str">
        <x:v>Nov</x:v>
      </x:c>
      <x:c r="T3" s="19" t="str">
        <x:v>Déc</x:v>
      </x:c>
    </x:row>
    <x:row r="4">
      <x:c r="A4" s="27" t="str">
        <x:v>ERP / SI</x:v>
      </x:c>
      <x:c r="B4" s="27" t="str">
        <x:v>IT</x:v>
      </x:c>
      <x:c r="C4" s="50" t="n">
        <x:v>450000</x:v>
      </x:c>
      <x:c r="D4" s="50" t="n">
        <x:v>3</x:v>
      </x:c>
      <x:c r="E4" s="50" t="n">
        <x:v>5</x:v>
      </x:c>
      <x:c r="F4" s="52" t="n">
        <x:f>C4*IF('01_Paramètres'!$B$6="Prudent",'02_Scénarios'!$B$10,IF('01_Paramètres'!$B$6="Ambitieux",'02_Scénarios'!$D$10,'02_Scénarios'!$C$10))</x:f>
        <x:v>450000</x:v>
      </x:c>
      <x:c r="G4" s="52" t="n">
        <x:f>F4/E4</x:f>
        <x:v>90000</x:v>
      </x:c>
      <x:c r="H4" s="52" t="n">
        <x:f>F4</x:f>
        <x:v>450000</x:v>
      </x:c>
      <x:c r="I4" s="52" t="n">
        <x:f>IF(1&lt;$D4,0,$G4/12)</x:f>
        <x:v>0</x:v>
      </x:c>
      <x:c r="J4" s="52" t="n">
        <x:f>IF(2&lt;$D4,0,$G4/12)</x:f>
        <x:v>0</x:v>
      </x:c>
      <x:c r="K4" s="52" t="n">
        <x:f>IF(3&lt;$D4,0,$G4/12)</x:f>
        <x:v>7500</x:v>
      </x:c>
      <x:c r="L4" s="52" t="n">
        <x:f>IF(4&lt;$D4,0,$G4/12)</x:f>
        <x:v>7500</x:v>
      </x:c>
      <x:c r="M4" s="52" t="n">
        <x:f>IF(5&lt;$D4,0,$G4/12)</x:f>
        <x:v>7500</x:v>
      </x:c>
      <x:c r="N4" s="52" t="n">
        <x:f>IF(6&lt;$D4,0,$G4/12)</x:f>
        <x:v>7500</x:v>
      </x:c>
      <x:c r="O4" s="52" t="n">
        <x:f>IF(7&lt;$D4,0,$G4/12)</x:f>
        <x:v>7500</x:v>
      </x:c>
      <x:c r="P4" s="52" t="n">
        <x:f>IF(8&lt;$D4,0,$G4/12)</x:f>
        <x:v>7500</x:v>
      </x:c>
      <x:c r="Q4" s="52" t="n">
        <x:f>IF(9&lt;$D4,0,$G4/12)</x:f>
        <x:v>7500</x:v>
      </x:c>
      <x:c r="R4" s="52" t="n">
        <x:f>IF(10&lt;$D4,0,$G4/12)</x:f>
        <x:v>7500</x:v>
      </x:c>
      <x:c r="S4" s="52" t="n">
        <x:f>IF(11&lt;$D4,0,$G4/12)</x:f>
        <x:v>7500</x:v>
      </x:c>
      <x:c r="T4" s="52" t="n">
        <x:f>IF(12&lt;$D4,0,$G4/12)</x:f>
        <x:v>7500</x:v>
      </x:c>
    </x:row>
    <x:row r="5">
      <x:c r="A5" s="27" t="str">
        <x:v>Matériel industriel</x:v>
      </x:c>
      <x:c r="B5" s="27" t="str">
        <x:v>Production</x:v>
      </x:c>
      <x:c r="C5" s="50" t="n">
        <x:v>1200000</x:v>
      </x:c>
      <x:c r="D5" s="50" t="n">
        <x:v>5</x:v>
      </x:c>
      <x:c r="E5" s="50" t="n">
        <x:v>7</x:v>
      </x:c>
      <x:c r="F5" s="52" t="n">
        <x:f>C5*IF('01_Paramètres'!$B$6="Prudent",'02_Scénarios'!$B$10,IF('01_Paramètres'!$B$6="Ambitieux",'02_Scénarios'!$D$10,'02_Scénarios'!$C$10))</x:f>
        <x:v>1200000</x:v>
      </x:c>
      <x:c r="G5" s="52" t="n">
        <x:f>F5/E5</x:f>
        <x:v>171428.57142857142</x:v>
      </x:c>
      <x:c r="H5" s="52" t="n">
        <x:f>F5</x:f>
        <x:v>1200000</x:v>
      </x:c>
      <x:c r="I5" s="52" t="n">
        <x:f>IF(1&lt;$D5,0,$G5/12)</x:f>
        <x:v>0</x:v>
      </x:c>
      <x:c r="J5" s="52" t="n">
        <x:f>IF(2&lt;$D5,0,$G5/12)</x:f>
        <x:v>0</x:v>
      </x:c>
      <x:c r="K5" s="52" t="n">
        <x:f>IF(3&lt;$D5,0,$G5/12)</x:f>
        <x:v>0</x:v>
      </x:c>
      <x:c r="L5" s="52" t="n">
        <x:f>IF(4&lt;$D5,0,$G5/12)</x:f>
        <x:v>0</x:v>
      </x:c>
      <x:c r="M5" s="52" t="n">
        <x:f>IF(5&lt;$D5,0,$G5/12)</x:f>
        <x:v>14285.714285714284</x:v>
      </x:c>
      <x:c r="N5" s="52" t="n">
        <x:f>IF(6&lt;$D5,0,$G5/12)</x:f>
        <x:v>14285.714285714284</x:v>
      </x:c>
      <x:c r="O5" s="52" t="n">
        <x:f>IF(7&lt;$D5,0,$G5/12)</x:f>
        <x:v>14285.714285714284</x:v>
      </x:c>
      <x:c r="P5" s="52" t="n">
        <x:f>IF(8&lt;$D5,0,$G5/12)</x:f>
        <x:v>14285.714285714284</x:v>
      </x:c>
      <x:c r="Q5" s="52" t="n">
        <x:f>IF(9&lt;$D5,0,$G5/12)</x:f>
        <x:v>14285.714285714284</x:v>
      </x:c>
      <x:c r="R5" s="52" t="n">
        <x:f>IF(10&lt;$D5,0,$G5/12)</x:f>
        <x:v>14285.714285714284</x:v>
      </x:c>
      <x:c r="S5" s="52" t="n">
        <x:f>IF(11&lt;$D5,0,$G5/12)</x:f>
        <x:v>14285.714285714284</x:v>
      </x:c>
      <x:c r="T5" s="52" t="n">
        <x:f>IF(12&lt;$D5,0,$G5/12)</x:f>
        <x:v>14285.714285714284</x:v>
      </x:c>
    </x:row>
    <x:row r="6">
      <x:c r="A6" s="27" t="str">
        <x:v>Véhicules</x:v>
      </x:c>
      <x:c r="B6" s="27" t="str">
        <x:v>Logistique</x:v>
      </x:c>
      <x:c r="C6" s="50" t="n">
        <x:v>600000</x:v>
      </x:c>
      <x:c r="D6" s="50" t="n">
        <x:v>2</x:v>
      </x:c>
      <x:c r="E6" s="50" t="n">
        <x:v>5</x:v>
      </x:c>
      <x:c r="F6" s="52" t="n">
        <x:f>C6*IF('01_Paramètres'!$B$6="Prudent",'02_Scénarios'!$B$10,IF('01_Paramètres'!$B$6="Ambitieux",'02_Scénarios'!$D$10,'02_Scénarios'!$C$10))</x:f>
        <x:v>600000</x:v>
      </x:c>
      <x:c r="G6" s="52" t="n">
        <x:f>F6/E6</x:f>
        <x:v>120000</x:v>
      </x:c>
      <x:c r="H6" s="52" t="n">
        <x:f>F6</x:f>
        <x:v>600000</x:v>
      </x:c>
      <x:c r="I6" s="52" t="n">
        <x:f>IF(1&lt;$D6,0,$G6/12)</x:f>
        <x:v>0</x:v>
      </x:c>
      <x:c r="J6" s="52" t="n">
        <x:f>IF(2&lt;$D6,0,$G6/12)</x:f>
        <x:v>10000</x:v>
      </x:c>
      <x:c r="K6" s="52" t="n">
        <x:f>IF(3&lt;$D6,0,$G6/12)</x:f>
        <x:v>10000</x:v>
      </x:c>
      <x:c r="L6" s="52" t="n">
        <x:f>IF(4&lt;$D6,0,$G6/12)</x:f>
        <x:v>10000</x:v>
      </x:c>
      <x:c r="M6" s="52" t="n">
        <x:f>IF(5&lt;$D6,0,$G6/12)</x:f>
        <x:v>10000</x:v>
      </x:c>
      <x:c r="N6" s="52" t="n">
        <x:f>IF(6&lt;$D6,0,$G6/12)</x:f>
        <x:v>10000</x:v>
      </x:c>
      <x:c r="O6" s="52" t="n">
        <x:f>IF(7&lt;$D6,0,$G6/12)</x:f>
        <x:v>10000</x:v>
      </x:c>
      <x:c r="P6" s="52" t="n">
        <x:f>IF(8&lt;$D6,0,$G6/12)</x:f>
        <x:v>10000</x:v>
      </x:c>
      <x:c r="Q6" s="52" t="n">
        <x:f>IF(9&lt;$D6,0,$G6/12)</x:f>
        <x:v>10000</x:v>
      </x:c>
      <x:c r="R6" s="52" t="n">
        <x:f>IF(10&lt;$D6,0,$G6/12)</x:f>
        <x:v>10000</x:v>
      </x:c>
      <x:c r="S6" s="52" t="n">
        <x:f>IF(11&lt;$D6,0,$G6/12)</x:f>
        <x:v>10000</x:v>
      </x:c>
      <x:c r="T6" s="52" t="n">
        <x:f>IF(12&lt;$D6,0,$G6/12)</x:f>
        <x:v>10000</x:v>
      </x:c>
    </x:row>
    <x:row r="7">
      <x:c r="A7" s="27" t="str">
        <x:v>Aménagement bureaux</x:v>
      </x:c>
      <x:c r="B7" s="27" t="str">
        <x:v>G&amp;A</x:v>
      </x:c>
      <x:c r="C7" s="50" t="n">
        <x:v>300000</x:v>
      </x:c>
      <x:c r="D7" s="50" t="n">
        <x:v>1</x:v>
      </x:c>
      <x:c r="E7" s="50" t="n">
        <x:v>8</x:v>
      </x:c>
      <x:c r="F7" s="52" t="n">
        <x:f>C7*IF('01_Paramètres'!$B$6="Prudent",'02_Scénarios'!$B$10,IF('01_Paramètres'!$B$6="Ambitieux",'02_Scénarios'!$D$10,'02_Scénarios'!$C$10))</x:f>
        <x:v>300000</x:v>
      </x:c>
      <x:c r="G7" s="52" t="n">
        <x:f>F7/E7</x:f>
        <x:v>37500</x:v>
      </x:c>
      <x:c r="H7" s="52" t="n">
        <x:f>F7</x:f>
        <x:v>300000</x:v>
      </x:c>
      <x:c r="I7" s="52" t="n">
        <x:f>IF(1&lt;$D7,0,$G7/12)</x:f>
        <x:v>3125</x:v>
      </x:c>
      <x:c r="J7" s="52" t="n">
        <x:f>IF(2&lt;$D7,0,$G7/12)</x:f>
        <x:v>3125</x:v>
      </x:c>
      <x:c r="K7" s="52" t="n">
        <x:f>IF(3&lt;$D7,0,$G7/12)</x:f>
        <x:v>3125</x:v>
      </x:c>
      <x:c r="L7" s="52" t="n">
        <x:f>IF(4&lt;$D7,0,$G7/12)</x:f>
        <x:v>3125</x:v>
      </x:c>
      <x:c r="M7" s="52" t="n">
        <x:f>IF(5&lt;$D7,0,$G7/12)</x:f>
        <x:v>3125</x:v>
      </x:c>
      <x:c r="N7" s="52" t="n">
        <x:f>IF(6&lt;$D7,0,$G7/12)</x:f>
        <x:v>3125</x:v>
      </x:c>
      <x:c r="O7" s="52" t="n">
        <x:f>IF(7&lt;$D7,0,$G7/12)</x:f>
        <x:v>3125</x:v>
      </x:c>
      <x:c r="P7" s="52" t="n">
        <x:f>IF(8&lt;$D7,0,$G7/12)</x:f>
        <x:v>3125</x:v>
      </x:c>
      <x:c r="Q7" s="52" t="n">
        <x:f>IF(9&lt;$D7,0,$G7/12)</x:f>
        <x:v>3125</x:v>
      </x:c>
      <x:c r="R7" s="52" t="n">
        <x:f>IF(10&lt;$D7,0,$G7/12)</x:f>
        <x:v>3125</x:v>
      </x:c>
      <x:c r="S7" s="52" t="n">
        <x:f>IF(11&lt;$D7,0,$G7/12)</x:f>
        <x:v>3125</x:v>
      </x:c>
      <x:c r="T7" s="52" t="n">
        <x:f>IF(12&lt;$D7,0,$G7/12)</x:f>
        <x:v>3125</x:v>
      </x:c>
    </x:row>
    <x:row r="8"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</x:row>
    <x:row r="9">
      <x:c r="A9" s="47" t="str">
        <x:v>TOTAL</x:v>
      </x:c>
      <x:c r="B9" s="47"/>
      <x:c r="C9" s="53" t="n">
        <x:f>SUM(C4:C7)</x:f>
        <x:v>2550000</x:v>
      </x:c>
      <x:c r="D9" s="53" t="n">
        <x:f>SUM(D4:D7)</x:f>
        <x:v>11</x:v>
      </x:c>
      <x:c r="E9" s="53" t="n">
        <x:f>SUM(E4:E7)</x:f>
        <x:v>25</x:v>
      </x:c>
      <x:c r="F9" s="53" t="n">
        <x:f>SUM(F4:F7)</x:f>
        <x:v>2550000</x:v>
      </x:c>
      <x:c r="G9" s="53" t="n">
        <x:f>SUM(G4:G7)</x:f>
        <x:v>418928.5714285714</x:v>
      </x:c>
      <x:c r="H9" s="53" t="n">
        <x:f>SUM(H4:H7)</x:f>
        <x:v>2550000</x:v>
      </x:c>
      <x:c r="I9" s="53" t="n">
        <x:f>SUM(I4:I7)</x:f>
        <x:v>3125</x:v>
      </x:c>
      <x:c r="J9" s="53" t="n">
        <x:f>SUM(J4:J7)</x:f>
        <x:v>13125</x:v>
      </x:c>
      <x:c r="K9" s="53" t="n">
        <x:f>SUM(K4:K7)</x:f>
        <x:v>20625</x:v>
      </x:c>
      <x:c r="L9" s="53" t="n">
        <x:f>SUM(L4:L7)</x:f>
        <x:v>20625</x:v>
      </x:c>
      <x:c r="M9" s="53" t="n">
        <x:f>SUM(M4:M7)</x:f>
        <x:v>34910.71428571428</x:v>
      </x:c>
      <x:c r="N9" s="53" t="n">
        <x:f>SUM(N4:N7)</x:f>
        <x:v>34910.71428571428</x:v>
      </x:c>
      <x:c r="O9" s="53" t="n">
        <x:f>SUM(O4:O7)</x:f>
        <x:v>34910.71428571428</x:v>
      </x:c>
      <x:c r="P9" s="53" t="n">
        <x:f>SUM(P4:P7)</x:f>
        <x:v>34910.71428571428</x:v>
      </x:c>
      <x:c r="Q9" s="53" t="n">
        <x:f>SUM(Q4:Q7)</x:f>
        <x:v>34910.71428571428</x:v>
      </x:c>
      <x:c r="R9" s="53" t="n">
        <x:f>SUM(R4:R7)</x:f>
        <x:v>34910.71428571428</x:v>
      </x:c>
      <x:c r="S9" s="53" t="n">
        <x:f>SUM(S4:S7)</x:f>
        <x:v>34910.71428571428</x:v>
      </x:c>
      <x:c r="T9" s="53" t="n">
        <x:f>SUM(T4:T7)</x:f>
        <x:v>34910.71428571428</x:v>
      </x:c>
    </x:row>
  </x:sheetData>
  <x:mergeCells>
    <x:mergeCell ref="A1:T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5" t="str">
        <x:v>08 — BFR &amp; TRÉSORERIE</x:v>
      </x:c>
    </x:row>
    <x:row r="3">
      <x:c r="A3" s="19" t="str">
        <x:v>Indicateur</x:v>
      </x:c>
      <x:c r="B3" s="19" t="str">
        <x:v>Jan</x:v>
      </x:c>
      <x:c r="C3" s="19" t="str">
        <x:v>Fév</x:v>
      </x:c>
      <x:c r="D3" s="19" t="str">
        <x:v>Mar</x:v>
      </x:c>
      <x:c r="E3" s="19" t="str">
        <x:v>Avr</x:v>
      </x:c>
      <x:c r="F3" s="19" t="str">
        <x:v>Mai</x:v>
      </x:c>
      <x:c r="G3" s="19" t="str">
        <x:v>Juin</x:v>
      </x:c>
      <x:c r="H3" s="19" t="str">
        <x:v>Juil</x:v>
      </x:c>
      <x:c r="I3" s="19" t="str">
        <x:v>Aoû</x:v>
      </x:c>
      <x:c r="J3" s="19" t="str">
        <x:v>Sep</x:v>
      </x:c>
      <x:c r="K3" s="19" t="str">
        <x:v>Oct</x:v>
      </x:c>
      <x:c r="L3" s="19" t="str">
        <x:v>Nov</x:v>
      </x:c>
      <x:c r="M3" s="19" t="str">
        <x:v>Déc</x:v>
      </x:c>
      <x:c r="N3" s="19" t="str">
        <x:v>Total/Fin année</x:v>
      </x:c>
    </x:row>
    <x:row r="4">
      <x:c r="A4" t="str">
        <x:v>CA</x:v>
      </x:c>
      <x:c r="B4" s="52" t="n">
        <x:f>'04_Revenus'!H10</x:f>
        <x:v>1711473.75</x:v>
      </x:c>
      <x:c r="C4" s="52" t="n">
        <x:f>'04_Revenus'!I10</x:f>
        <x:v>1711473.75</x:v>
      </x:c>
      <x:c r="D4" s="52" t="n">
        <x:f>'04_Revenus'!J10</x:f>
        <x:v>1825572</x:v>
      </x:c>
      <x:c r="E4" s="52" t="n">
        <x:f>'04_Revenus'!K10</x:f>
        <x:v>1825572</x:v>
      </x:c>
      <x:c r="F4" s="52" t="n">
        <x:f>'04_Revenus'!L10</x:f>
        <x:v>1939670.25</x:v>
      </x:c>
      <x:c r="G4" s="52" t="n">
        <x:f>'04_Revenus'!M10</x:f>
        <x:v>1939670.25</x:v>
      </x:c>
      <x:c r="H4" s="52" t="n">
        <x:f>'04_Revenus'!N10</x:f>
        <x:v>1939670.25</x:v>
      </x:c>
      <x:c r="I4" s="52" t="n">
        <x:f>'04_Revenus'!O10</x:f>
        <x:v>1939670.25</x:v>
      </x:c>
      <x:c r="J4" s="52" t="n">
        <x:f>'04_Revenus'!P10</x:f>
        <x:v>1939670.25</x:v>
      </x:c>
      <x:c r="K4" s="52" t="n">
        <x:f>'04_Revenus'!Q10</x:f>
        <x:v>1939670.25</x:v>
      </x:c>
      <x:c r="L4" s="52" t="n">
        <x:f>'04_Revenus'!R10</x:f>
        <x:v>2053768.5</x:v>
      </x:c>
      <x:c r="M4" s="52" t="n">
        <x:f>'04_Revenus'!S10</x:f>
        <x:v>2053768.5</x:v>
      </x:c>
      <x:c r="N4" s="52" t="n">
        <x:f>SUM(B4:M4)</x:f>
        <x:v>22819650</x:v>
      </x:c>
    </x:row>
    <x:row r="5">
      <x:c r="A5" t="str">
        <x:v>COGS / achats</x:v>
      </x:c>
      <x:c r="B5" s="52" t="n">
        <x:f>'05_OPEX'!G4</x:f>
        <x:v>798687.75</x:v>
      </x:c>
      <x:c r="C5" s="52" t="n">
        <x:f>'05_OPEX'!H4</x:f>
        <x:v>798687.75</x:v>
      </x:c>
      <x:c r="D5" s="52" t="n">
        <x:f>'05_OPEX'!I4</x:f>
        <x:v>798687.75</x:v>
      </x:c>
      <x:c r="E5" s="52" t="n">
        <x:f>'05_OPEX'!J4</x:f>
        <x:v>798687.75</x:v>
      </x:c>
      <x:c r="F5" s="52" t="n">
        <x:f>'05_OPEX'!K4</x:f>
        <x:v>798687.75</x:v>
      </x:c>
      <x:c r="G5" s="52" t="n">
        <x:f>'05_OPEX'!L4</x:f>
        <x:v>798687.75</x:v>
      </x:c>
      <x:c r="H5" s="52" t="n">
        <x:f>'05_OPEX'!M4</x:f>
        <x:v>798687.75</x:v>
      </x:c>
      <x:c r="I5" s="52" t="n">
        <x:f>'05_OPEX'!N4</x:f>
        <x:v>798687.75</x:v>
      </x:c>
      <x:c r="J5" s="52" t="n">
        <x:f>'05_OPEX'!O4</x:f>
        <x:v>798687.75</x:v>
      </x:c>
      <x:c r="K5" s="52" t="n">
        <x:f>'05_OPEX'!P4</x:f>
        <x:v>798687.75</x:v>
      </x:c>
      <x:c r="L5" s="52" t="n">
        <x:f>'05_OPEX'!Q4</x:f>
        <x:v>798687.75</x:v>
      </x:c>
      <x:c r="M5" s="52" t="n">
        <x:f>'05_OPEX'!R4</x:f>
        <x:v>798687.75</x:v>
      </x:c>
      <x:c r="N5" s="52" t="n">
        <x:f>SUM(B5:M5)</x:f>
        <x:v>9584253</x:v>
      </x:c>
    </x:row>
    <x:row r="6">
      <x:c r="A6" t="str">
        <x:v>Créances clients</x:v>
      </x:c>
      <x:c r="B6" s="52" t="n">
        <x:f>B4/30*('01_Paramètres'!$B$10+'02_Scénarios'!$B$18)</x:f>
        <x:v>3422947.5</x:v>
      </x:c>
      <x:c r="C6" s="52" t="n">
        <x:f>C4/30*('01_Paramètres'!$B$10+'02_Scénarios'!$B$18)</x:f>
        <x:v>3422947.5</x:v>
      </x:c>
      <x:c r="D6" s="52" t="n">
        <x:f>D4/30*('01_Paramètres'!$B$10+'02_Scénarios'!$B$18)</x:f>
        <x:v>3651144</x:v>
      </x:c>
      <x:c r="E6" s="52" t="n">
        <x:f>E4/30*('01_Paramètres'!$B$10+'02_Scénarios'!$B$18)</x:f>
        <x:v>3651144</x:v>
      </x:c>
      <x:c r="F6" s="52" t="n">
        <x:f>F4/30*('01_Paramètres'!$B$10+'02_Scénarios'!$B$18)</x:f>
        <x:v>3879340.5</x:v>
      </x:c>
      <x:c r="G6" s="52" t="n">
        <x:f>G4/30*('01_Paramètres'!$B$10+'02_Scénarios'!$B$18)</x:f>
        <x:v>3879340.5</x:v>
      </x:c>
      <x:c r="H6" s="52" t="n">
        <x:f>H4/30*('01_Paramètres'!$B$10+'02_Scénarios'!$B$18)</x:f>
        <x:v>3879340.5</x:v>
      </x:c>
      <x:c r="I6" s="52" t="n">
        <x:f>I4/30*('01_Paramètres'!$B$10+'02_Scénarios'!$B$18)</x:f>
        <x:v>3879340.5</x:v>
      </x:c>
      <x:c r="J6" s="52" t="n">
        <x:f>J4/30*('01_Paramètres'!$B$10+'02_Scénarios'!$B$18)</x:f>
        <x:v>3879340.5</x:v>
      </x:c>
      <x:c r="K6" s="52" t="n">
        <x:f>K4/30*('01_Paramètres'!$B$10+'02_Scénarios'!$B$18)</x:f>
        <x:v>3879340.5</x:v>
      </x:c>
      <x:c r="L6" s="52" t="n">
        <x:f>L4/30*('01_Paramètres'!$B$10+'02_Scénarios'!$B$18)</x:f>
        <x:v>4107537</x:v>
      </x:c>
      <x:c r="M6" s="52" t="n">
        <x:f>M4/30*('01_Paramètres'!$B$10+'02_Scénarios'!$B$18)</x:f>
        <x:v>4107537</x:v>
      </x:c>
      <x:c r="N6" s="52" t="n">
        <x:f>M6</x:f>
        <x:v>4107537</x:v>
      </x:c>
    </x:row>
    <x:row r="7">
      <x:c r="A7" t="str">
        <x:v>Stocks</x:v>
      </x:c>
      <x:c r="B7" s="52" t="n">
        <x:f>B5/30*'01_Paramètres'!$B$12</x:f>
        <x:v>1198031.625</x:v>
      </x:c>
      <x:c r="C7" s="52" t="n">
        <x:f>C5/30*'01_Paramètres'!$B$12</x:f>
        <x:v>1198031.625</x:v>
      </x:c>
      <x:c r="D7" s="52" t="n">
        <x:f>D5/30*'01_Paramètres'!$B$12</x:f>
        <x:v>1198031.625</x:v>
      </x:c>
      <x:c r="E7" s="52" t="n">
        <x:f>E5/30*'01_Paramètres'!$B$12</x:f>
        <x:v>1198031.625</x:v>
      </x:c>
      <x:c r="F7" s="52" t="n">
        <x:f>F5/30*'01_Paramètres'!$B$12</x:f>
        <x:v>1198031.625</x:v>
      </x:c>
      <x:c r="G7" s="52" t="n">
        <x:f>G5/30*'01_Paramètres'!$B$12</x:f>
        <x:v>1198031.625</x:v>
      </x:c>
      <x:c r="H7" s="52" t="n">
        <x:f>H5/30*'01_Paramètres'!$B$12</x:f>
        <x:v>1198031.625</x:v>
      </x:c>
      <x:c r="I7" s="52" t="n">
        <x:f>I5/30*'01_Paramètres'!$B$12</x:f>
        <x:v>1198031.625</x:v>
      </x:c>
      <x:c r="J7" s="52" t="n">
        <x:f>J5/30*'01_Paramètres'!$B$12</x:f>
        <x:v>1198031.625</x:v>
      </x:c>
      <x:c r="K7" s="52" t="n">
        <x:f>K5/30*'01_Paramètres'!$B$12</x:f>
        <x:v>1198031.625</x:v>
      </x:c>
      <x:c r="L7" s="52" t="n">
        <x:f>L5/30*'01_Paramètres'!$B$12</x:f>
        <x:v>1198031.625</x:v>
      </x:c>
      <x:c r="M7" s="52" t="n">
        <x:f>M5/30*'01_Paramètres'!$B$12</x:f>
        <x:v>1198031.625</x:v>
      </x:c>
      <x:c r="N7" s="52" t="n">
        <x:f>M7</x:f>
        <x:v>1198031.625</x:v>
      </x:c>
    </x:row>
    <x:row r="8">
      <x:c r="A8" t="str">
        <x:v>Dettes fournisseurs</x:v>
      </x:c>
      <x:c r="B8" s="52" t="n">
        <x:f>B5/30*('01_Paramètres'!$B$11+'02_Scénarios'!$B$19)</x:f>
        <x:v>1198031.625</x:v>
      </x:c>
      <x:c r="C8" s="52" t="n">
        <x:f>C5/30*('01_Paramètres'!$B$11+'02_Scénarios'!$B$19)</x:f>
        <x:v>1198031.625</x:v>
      </x:c>
      <x:c r="D8" s="52" t="n">
        <x:f>D5/30*('01_Paramètres'!$B$11+'02_Scénarios'!$B$19)</x:f>
        <x:v>1198031.625</x:v>
      </x:c>
      <x:c r="E8" s="52" t="n">
        <x:f>E5/30*('01_Paramètres'!$B$11+'02_Scénarios'!$B$19)</x:f>
        <x:v>1198031.625</x:v>
      </x:c>
      <x:c r="F8" s="52" t="n">
        <x:f>F5/30*('01_Paramètres'!$B$11+'02_Scénarios'!$B$19)</x:f>
        <x:v>1198031.625</x:v>
      </x:c>
      <x:c r="G8" s="52" t="n">
        <x:f>G5/30*('01_Paramètres'!$B$11+'02_Scénarios'!$B$19)</x:f>
        <x:v>1198031.625</x:v>
      </x:c>
      <x:c r="H8" s="52" t="n">
        <x:f>H5/30*('01_Paramètres'!$B$11+'02_Scénarios'!$B$19)</x:f>
        <x:v>1198031.625</x:v>
      </x:c>
      <x:c r="I8" s="52" t="n">
        <x:f>I5/30*('01_Paramètres'!$B$11+'02_Scénarios'!$B$19)</x:f>
        <x:v>1198031.625</x:v>
      </x:c>
      <x:c r="J8" s="52" t="n">
        <x:f>J5/30*('01_Paramètres'!$B$11+'02_Scénarios'!$B$19)</x:f>
        <x:v>1198031.625</x:v>
      </x:c>
      <x:c r="K8" s="52" t="n">
        <x:f>K5/30*('01_Paramètres'!$B$11+'02_Scénarios'!$B$19)</x:f>
        <x:v>1198031.625</x:v>
      </x:c>
      <x:c r="L8" s="52" t="n">
        <x:f>L5/30*('01_Paramètres'!$B$11+'02_Scénarios'!$B$19)</x:f>
        <x:v>1198031.625</x:v>
      </x:c>
      <x:c r="M8" s="52" t="n">
        <x:f>M5/30*('01_Paramètres'!$B$11+'02_Scénarios'!$B$19)</x:f>
        <x:v>1198031.625</x:v>
      </x:c>
      <x:c r="N8" s="52" t="n">
        <x:f>M8</x:f>
        <x:v>1198031.625</x:v>
      </x:c>
    </x:row>
    <x:row r="9">
      <x:c r="A9" t="str">
        <x:v>BFR</x:v>
      </x:c>
      <x:c r="B9" s="52" t="n">
        <x:f>B6+B7-B8</x:f>
        <x:v>3422947.5</x:v>
      </x:c>
      <x:c r="C9" s="52" t="n">
        <x:f>C6+C7-C8</x:f>
        <x:v>3422947.5</x:v>
      </x:c>
      <x:c r="D9" s="52" t="n">
        <x:f>D6+D7-D8</x:f>
        <x:v>3651144</x:v>
      </x:c>
      <x:c r="E9" s="52" t="n">
        <x:f>E6+E7-E8</x:f>
        <x:v>3651144</x:v>
      </x:c>
      <x:c r="F9" s="52" t="n">
        <x:f>F6+F7-F8</x:f>
        <x:v>3879340.5</x:v>
      </x:c>
      <x:c r="G9" s="52" t="n">
        <x:f>G6+G7-G8</x:f>
        <x:v>3879340.5</x:v>
      </x:c>
      <x:c r="H9" s="52" t="n">
        <x:f>H6+H7-H8</x:f>
        <x:v>3879340.5</x:v>
      </x:c>
      <x:c r="I9" s="52" t="n">
        <x:f>I6+I7-I8</x:f>
        <x:v>3879340.5</x:v>
      </x:c>
      <x:c r="J9" s="52" t="n">
        <x:f>J6+J7-J8</x:f>
        <x:v>3879340.5</x:v>
      </x:c>
      <x:c r="K9" s="52" t="n">
        <x:f>K6+K7-K8</x:f>
        <x:v>3879340.5</x:v>
      </x:c>
      <x:c r="L9" s="52" t="n">
        <x:f>L6+L7-L8</x:f>
        <x:v>4107537</x:v>
      </x:c>
      <x:c r="M9" s="52" t="n">
        <x:f>M6+M7-M8</x:f>
        <x:v>4107537</x:v>
      </x:c>
      <x:c r="N9" s="52" t="n">
        <x:f>M9</x:f>
        <x:v>4107537</x:v>
      </x:c>
    </x:row>
    <x:row r="10">
      <x:c r="A10" t="str">
        <x:v>Variation BFR</x:v>
      </x:c>
      <x:c r="B10" s="52" t="n">
        <x:f>B9</x:f>
        <x:v>3422947.5</x:v>
      </x:c>
      <x:c r="C10" s="52" t="n">
        <x:f>C9-B9</x:f>
        <x:v>0</x:v>
      </x:c>
      <x:c r="D10" s="52" t="n">
        <x:f>D9-C9</x:f>
        <x:v>228196.5</x:v>
      </x:c>
      <x:c r="E10" s="52" t="n">
        <x:f>E9-D9</x:f>
        <x:v>0</x:v>
      </x:c>
      <x:c r="F10" s="52" t="n">
        <x:f>F9-E9</x:f>
        <x:v>228196.5</x:v>
      </x:c>
      <x:c r="G10" s="52" t="n">
        <x:f>G9-F9</x:f>
        <x:v>0</x:v>
      </x:c>
      <x:c r="H10" s="52" t="n">
        <x:f>H9-G9</x:f>
        <x:v>0</x:v>
      </x:c>
      <x:c r="I10" s="52" t="n">
        <x:f>I9-H9</x:f>
        <x:v>0</x:v>
      </x:c>
      <x:c r="J10" s="52" t="n">
        <x:f>J9-I9</x:f>
        <x:v>0</x:v>
      </x:c>
      <x:c r="K10" s="52" t="n">
        <x:f>K9-J9</x:f>
        <x:v>0</x:v>
      </x:c>
      <x:c r="L10" s="52" t="n">
        <x:f>L9-K9</x:f>
        <x:v>228196.5</x:v>
      </x:c>
      <x:c r="M10" s="52" t="n">
        <x:f>M9-L9</x:f>
        <x:v>0</x:v>
      </x:c>
      <x:c r="N10" s="52" t="n">
        <x:f>SUM(B10:M10)</x:f>
        <x:v>4107537</x:v>
      </x:c>
    </x:row>
    <x:row r="11">
      <x:c r="A11" t="str">
        <x:v>EBITDA approx.</x:v>
      </x:c>
      <x:c r="B11" s="52" t="n">
        <x:f>B4-B5-'05_OPEX'!G13-'06_RH'!I11</x:f>
        <x:v>-542639.7660000001</x:v>
      </x:c>
      <x:c r="C11" s="52" t="n">
        <x:f>C4-C5-'05_OPEX'!H13-'06_RH'!J11</x:f>
        <x:v>-542639.7660000001</x:v>
      </x:c>
      <x:c r="D11" s="52" t="n">
        <x:f>D4-D5-'05_OPEX'!I13-'06_RH'!K11</x:f>
        <x:v>-428541.516</x:v>
      </x:c>
      <x:c r="E11" s="52" t="n">
        <x:f>E4-E5-'05_OPEX'!J13-'06_RH'!L11</x:f>
        <x:v>-428541.516</x:v>
      </x:c>
      <x:c r="F11" s="52" t="n">
        <x:f>F4-F5-'05_OPEX'!K13-'06_RH'!M11</x:f>
        <x:v>-314443.266</x:v>
      </x:c>
      <x:c r="G11" s="52" t="n">
        <x:f>G4-G5-'05_OPEX'!L13-'06_RH'!N11</x:f>
        <x:v>-314443.266</x:v>
      </x:c>
      <x:c r="H11" s="52" t="n">
        <x:f>H4-H5-'05_OPEX'!M13-'06_RH'!O11</x:f>
        <x:v>-348421.73</x:v>
      </x:c>
      <x:c r="I11" s="52" t="n">
        <x:f>I4-I5-'05_OPEX'!N13-'06_RH'!P11</x:f>
        <x:v>-348421.73</x:v>
      </x:c>
      <x:c r="J11" s="52" t="n">
        <x:f>J4-J5-'05_OPEX'!O13-'06_RH'!Q11</x:f>
        <x:v>-348421.73</x:v>
      </x:c>
      <x:c r="K11" s="52" t="n">
        <x:f>K4-K5-'05_OPEX'!P13-'06_RH'!R11</x:f>
        <x:v>-348421.73</x:v>
      </x:c>
      <x:c r="L11" s="52" t="n">
        <x:f>L4-L5-'05_OPEX'!Q13-'06_RH'!S11</x:f>
        <x:v>-234323.47999999998</x:v>
      </x:c>
      <x:c r="M11" s="52" t="n">
        <x:f>M4-M5-'05_OPEX'!R13-'06_RH'!T11</x:f>
        <x:v>-234323.47999999998</x:v>
      </x:c>
      <x:c r="N11" s="52" t="n">
        <x:f>SUM(B11:M11)</x:f>
        <x:v>-4433582.976</x:v>
      </x:c>
    </x:row>
    <x:row r="12">
      <x:c r="A12" t="str">
        <x:v>CAPEX cash</x:v>
      </x:c>
      <x:c r="B12" s="52" t="n">
        <x:f>SUMPRODUCT(('07_CAPEX'!$D$4:$D$7=1)*'07_CAPEX'!$F$4:$F$7)</x:f>
        <x:v>300000</x:v>
      </x:c>
      <x:c r="C12" s="52" t="n">
        <x:f>SUMPRODUCT(('07_CAPEX'!$D$4:$D$7=2)*'07_CAPEX'!$F$4:$F$7)</x:f>
        <x:v>600000</x:v>
      </x:c>
      <x:c r="D12" s="52" t="n">
        <x:f>SUMPRODUCT(('07_CAPEX'!$D$4:$D$7=3)*'07_CAPEX'!$F$4:$F$7)</x:f>
        <x:v>450000</x:v>
      </x:c>
      <x:c r="E12" s="52" t="n">
        <x:f>SUMPRODUCT(('07_CAPEX'!$D$4:$D$7=4)*'07_CAPEX'!$F$4:$F$7)</x:f>
        <x:v>0</x:v>
      </x:c>
      <x:c r="F12" s="52" t="n">
        <x:f>SUMPRODUCT(('07_CAPEX'!$D$4:$D$7=5)*'07_CAPEX'!$F$4:$F$7)</x:f>
        <x:v>1200000</x:v>
      </x:c>
      <x:c r="G12" s="52" t="n">
        <x:f>SUMPRODUCT(('07_CAPEX'!$D$4:$D$7=6)*'07_CAPEX'!$F$4:$F$7)</x:f>
        <x:v>0</x:v>
      </x:c>
      <x:c r="H12" s="52" t="n">
        <x:f>SUMPRODUCT(('07_CAPEX'!$D$4:$D$7=7)*'07_CAPEX'!$F$4:$F$7)</x:f>
        <x:v>0</x:v>
      </x:c>
      <x:c r="I12" s="52" t="n">
        <x:f>SUMPRODUCT(('07_CAPEX'!$D$4:$D$7=8)*'07_CAPEX'!$F$4:$F$7)</x:f>
        <x:v>0</x:v>
      </x:c>
      <x:c r="J12" s="52" t="n">
        <x:f>SUMPRODUCT(('07_CAPEX'!$D$4:$D$7=9)*'07_CAPEX'!$F$4:$F$7)</x:f>
        <x:v>0</x:v>
      </x:c>
      <x:c r="K12" s="52" t="n">
        <x:f>SUMPRODUCT(('07_CAPEX'!$D$4:$D$7=10)*'07_CAPEX'!$F$4:$F$7)</x:f>
        <x:v>0</x:v>
      </x:c>
      <x:c r="L12" s="52" t="n">
        <x:f>SUMPRODUCT(('07_CAPEX'!$D$4:$D$7=11)*'07_CAPEX'!$F$4:$F$7)</x:f>
        <x:v>0</x:v>
      </x:c>
      <x:c r="M12" s="52" t="n">
        <x:f>SUMPRODUCT(('07_CAPEX'!$D$4:$D$7=12)*'07_CAPEX'!$F$4:$F$7)</x:f>
        <x:v>0</x:v>
      </x:c>
      <x:c r="N12" s="52" t="n">
        <x:f>SUM(B12:M12)</x:f>
        <x:v>2550000</x:v>
      </x:c>
    </x:row>
    <x:row r="13">
      <x:c r="A13" t="str">
        <x:v>Cash-flow opérationnel approx.</x:v>
      </x:c>
      <x:c r="B13" s="52" t="n">
        <x:f>B11-B10-B12</x:f>
        <x:v>-4265587.266</x:v>
      </x:c>
      <x:c r="C13" s="52" t="n">
        <x:f>C11-C10-C12</x:f>
        <x:v>-1142639.766</x:v>
      </x:c>
      <x:c r="D13" s="52" t="n">
        <x:f>D11-D10-D12</x:f>
        <x:v>-1106738.016</x:v>
      </x:c>
      <x:c r="E13" s="52" t="n">
        <x:f>E11-E10-E12</x:f>
        <x:v>-428541.516</x:v>
      </x:c>
      <x:c r="F13" s="52" t="n">
        <x:f>F11-F10-F12</x:f>
        <x:v>-1742639.766</x:v>
      </x:c>
      <x:c r="G13" s="52" t="n">
        <x:f>G11-G10-G12</x:f>
        <x:v>-314443.266</x:v>
      </x:c>
      <x:c r="H13" s="52" t="n">
        <x:f>H11-H10-H12</x:f>
        <x:v>-348421.73</x:v>
      </x:c>
      <x:c r="I13" s="52" t="n">
        <x:f>I11-I10-I12</x:f>
        <x:v>-348421.73</x:v>
      </x:c>
      <x:c r="J13" s="52" t="n">
        <x:f>J11-J10-J12</x:f>
        <x:v>-348421.73</x:v>
      </x:c>
      <x:c r="K13" s="52" t="n">
        <x:f>K11-K10-K12</x:f>
        <x:v>-348421.73</x:v>
      </x:c>
      <x:c r="L13" s="52" t="n">
        <x:f>L11-L10-L12</x:f>
        <x:v>-462519.98</x:v>
      </x:c>
      <x:c r="M13" s="52" t="n">
        <x:f>M11-M10-M12</x:f>
        <x:v>-234323.47999999998</x:v>
      </x:c>
      <x:c r="N13" s="52" t="n">
        <x:f>SUM(B13:M13)</x:f>
        <x:v>-11091119.976000004</x:v>
      </x:c>
    </x:row>
  </x:sheetData>
  <x:mergeCells>
    <x:mergeCell ref="A1:N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5" t="str">
        <x:v>09 — COMPTE DE RÉSULTAT BUDGÉTAIRE</x:v>
      </x:c>
    </x:row>
    <x:row r="3">
      <x:c r="A3" s="19" t="str">
        <x:v>P&amp;L (MAD)</x:v>
      </x:c>
      <x:c r="B3" s="19" t="str">
        <x:v>Jan</x:v>
      </x:c>
      <x:c r="C3" s="19" t="str">
        <x:v>Fév</x:v>
      </x:c>
      <x:c r="D3" s="19" t="str">
        <x:v>Mar</x:v>
      </x:c>
      <x:c r="E3" s="19" t="str">
        <x:v>Avr</x:v>
      </x:c>
      <x:c r="F3" s="19" t="str">
        <x:v>Mai</x:v>
      </x:c>
      <x:c r="G3" s="19" t="str">
        <x:v>Juin</x:v>
      </x:c>
      <x:c r="H3" s="19" t="str">
        <x:v>Juil</x:v>
      </x:c>
      <x:c r="I3" s="19" t="str">
        <x:v>Aoû</x:v>
      </x:c>
      <x:c r="J3" s="19" t="str">
        <x:v>Sep</x:v>
      </x:c>
      <x:c r="K3" s="19" t="str">
        <x:v>Oct</x:v>
      </x:c>
      <x:c r="L3" s="19" t="str">
        <x:v>Nov</x:v>
      </x:c>
      <x:c r="M3" s="19" t="str">
        <x:v>Déc</x:v>
      </x:c>
      <x:c r="N3" s="19" t="str">
        <x:v>FY</x:v>
      </x:c>
    </x:row>
    <x:row r="4">
      <x:c r="A4" t="str">
        <x:v>Chiffre d’affaires</x:v>
      </x:c>
      <x:c r="B4" s="52" t="n">
        <x:f>'04_Revenus'!H10</x:f>
        <x:v>1711473.75</x:v>
      </x:c>
      <x:c r="C4" s="52" t="n">
        <x:f>'04_Revenus'!I10</x:f>
        <x:v>1711473.75</x:v>
      </x:c>
      <x:c r="D4" s="52" t="n">
        <x:f>'04_Revenus'!J10</x:f>
        <x:v>1825572</x:v>
      </x:c>
      <x:c r="E4" s="52" t="n">
        <x:f>'04_Revenus'!K10</x:f>
        <x:v>1825572</x:v>
      </x:c>
      <x:c r="F4" s="52" t="n">
        <x:f>'04_Revenus'!L10</x:f>
        <x:v>1939670.25</x:v>
      </x:c>
      <x:c r="G4" s="52" t="n">
        <x:f>'04_Revenus'!M10</x:f>
        <x:v>1939670.25</x:v>
      </x:c>
      <x:c r="H4" s="52" t="n">
        <x:f>'04_Revenus'!N10</x:f>
        <x:v>1939670.25</x:v>
      </x:c>
      <x:c r="I4" s="52" t="n">
        <x:f>'04_Revenus'!O10</x:f>
        <x:v>1939670.25</x:v>
      </x:c>
      <x:c r="J4" s="52" t="n">
        <x:f>'04_Revenus'!P10</x:f>
        <x:v>1939670.25</x:v>
      </x:c>
      <x:c r="K4" s="52" t="n">
        <x:f>'04_Revenus'!Q10</x:f>
        <x:v>1939670.25</x:v>
      </x:c>
      <x:c r="L4" s="52" t="n">
        <x:f>'04_Revenus'!R10</x:f>
        <x:v>2053768.5</x:v>
      </x:c>
      <x:c r="M4" s="52" t="n">
        <x:f>'04_Revenus'!S10</x:f>
        <x:v>2053768.5</x:v>
      </x:c>
      <x:c r="N4" s="52" t="n">
        <x:f>SUM(B4:M4)</x:f>
        <x:v>22819650</x:v>
      </x:c>
    </x:row>
    <x:row r="5">
      <x:c r="A5" t="str">
        <x:v>COGS / achats</x:v>
      </x:c>
      <x:c r="B5" s="52" t="n">
        <x:f>'05_OPEX'!G4</x:f>
        <x:v>798687.75</x:v>
      </x:c>
      <x:c r="C5" s="52" t="n">
        <x:f>'05_OPEX'!H4</x:f>
        <x:v>798687.75</x:v>
      </x:c>
      <x:c r="D5" s="52" t="n">
        <x:f>'05_OPEX'!I4</x:f>
        <x:v>798687.75</x:v>
      </x:c>
      <x:c r="E5" s="52" t="n">
        <x:f>'05_OPEX'!J4</x:f>
        <x:v>798687.75</x:v>
      </x:c>
      <x:c r="F5" s="52" t="n">
        <x:f>'05_OPEX'!K4</x:f>
        <x:v>798687.75</x:v>
      </x:c>
      <x:c r="G5" s="52" t="n">
        <x:f>'05_OPEX'!L4</x:f>
        <x:v>798687.75</x:v>
      </x:c>
      <x:c r="H5" s="52" t="n">
        <x:f>'05_OPEX'!M4</x:f>
        <x:v>798687.75</x:v>
      </x:c>
      <x:c r="I5" s="52" t="n">
        <x:f>'05_OPEX'!N4</x:f>
        <x:v>798687.75</x:v>
      </x:c>
      <x:c r="J5" s="52" t="n">
        <x:f>'05_OPEX'!O4</x:f>
        <x:v>798687.75</x:v>
      </x:c>
      <x:c r="K5" s="52" t="n">
        <x:f>'05_OPEX'!P4</x:f>
        <x:v>798687.75</x:v>
      </x:c>
      <x:c r="L5" s="52" t="n">
        <x:f>'05_OPEX'!Q4</x:f>
        <x:v>798687.75</x:v>
      </x:c>
      <x:c r="M5" s="52" t="n">
        <x:f>'05_OPEX'!R4</x:f>
        <x:v>798687.75</x:v>
      </x:c>
      <x:c r="N5" s="52" t="n">
        <x:f>SUM(B5:M5)</x:f>
        <x:v>9584253</x:v>
      </x:c>
    </x:row>
    <x:row r="6">
      <x:c r="A6" s="47" t="str">
        <x:v>Marge brute</x:v>
      </x:c>
      <x:c r="B6" s="53" t="n">
        <x:f>B4-B5</x:f>
        <x:v>912786</x:v>
      </x:c>
      <x:c r="C6" s="53" t="n">
        <x:f>C4-C5</x:f>
        <x:v>912786</x:v>
      </x:c>
      <x:c r="D6" s="53" t="n">
        <x:f>D4-D5</x:f>
        <x:v>1026884.25</x:v>
      </x:c>
      <x:c r="E6" s="53" t="n">
        <x:f>E4-E5</x:f>
        <x:v>1026884.25</x:v>
      </x:c>
      <x:c r="F6" s="53" t="n">
        <x:f>F4-F5</x:f>
        <x:v>1140982.5</x:v>
      </x:c>
      <x:c r="G6" s="53" t="n">
        <x:f>G4-G5</x:f>
        <x:v>1140982.5</x:v>
      </x:c>
      <x:c r="H6" s="53" t="n">
        <x:f>H4-H5</x:f>
        <x:v>1140982.5</x:v>
      </x:c>
      <x:c r="I6" s="53" t="n">
        <x:f>I4-I5</x:f>
        <x:v>1140982.5</x:v>
      </x:c>
      <x:c r="J6" s="53" t="n">
        <x:f>J4-J5</x:f>
        <x:v>1140982.5</x:v>
      </x:c>
      <x:c r="K6" s="53" t="n">
        <x:f>K4-K5</x:f>
        <x:v>1140982.5</x:v>
      </x:c>
      <x:c r="L6" s="53" t="n">
        <x:f>L4-L5</x:f>
        <x:v>1255080.75</x:v>
      </x:c>
      <x:c r="M6" s="53" t="n">
        <x:f>M4-M5</x:f>
        <x:v>1255080.75</x:v>
      </x:c>
      <x:c r="N6" s="53" t="n">
        <x:f>SUM(B6:M6)</x:f>
        <x:v>13235397</x:v>
      </x:c>
    </x:row>
    <x:row r="7">
      <x:c r="A7" t="str">
        <x:v>Marge brute %</x:v>
      </x:c>
      <x:c r="B7" s="58" t="n">
        <x:f>IFERROR(B6/B4,0)</x:f>
        <x:v>0.5333333333333333</x:v>
      </x:c>
      <x:c r="C7" s="58" t="n">
        <x:f>IFERROR(C6/C4,0)</x:f>
        <x:v>0.5333333333333333</x:v>
      </x:c>
      <x:c r="D7" s="58" t="n">
        <x:f>IFERROR(D6/D4,0)</x:f>
        <x:v>0.5625</x:v>
      </x:c>
      <x:c r="E7" s="58" t="n">
        <x:f>IFERROR(E6/E4,0)</x:f>
        <x:v>0.5625</x:v>
      </x:c>
      <x:c r="F7" s="58" t="n">
        <x:f>IFERROR(F6/F4,0)</x:f>
        <x:v>0.5882352941176471</x:v>
      </x:c>
      <x:c r="G7" s="58" t="n">
        <x:f>IFERROR(G6/G4,0)</x:f>
        <x:v>0.5882352941176471</x:v>
      </x:c>
      <x:c r="H7" s="58" t="n">
        <x:f>IFERROR(H6/H4,0)</x:f>
        <x:v>0.5882352941176471</x:v>
      </x:c>
      <x:c r="I7" s="58" t="n">
        <x:f>IFERROR(I6/I4,0)</x:f>
        <x:v>0.5882352941176471</x:v>
      </x:c>
      <x:c r="J7" s="58" t="n">
        <x:f>IFERROR(J6/J4,0)</x:f>
        <x:v>0.5882352941176471</x:v>
      </x:c>
      <x:c r="K7" s="58" t="n">
        <x:f>IFERROR(K6/K4,0)</x:f>
        <x:v>0.5882352941176471</x:v>
      </x:c>
      <x:c r="L7" s="58" t="n">
        <x:f>IFERROR(L6/L4,0)</x:f>
        <x:v>0.6111111111111112</x:v>
      </x:c>
      <x:c r="M7" s="58" t="n">
        <x:f>IFERROR(M6/M4,0)</x:f>
        <x:v>0.6111111111111112</x:v>
      </x:c>
      <x:c r="N7" s="58" t="n">
        <x:f>IFERROR(N6/N4,0)</x:f>
        <x:v>0.58</x:v>
      </x:c>
    </x:row>
    <x:row r="8">
      <x:c r="A8" t="str">
        <x:v>OPEX hors RH/D&amp;A</x:v>
      </x:c>
      <x:c r="B8" s="52" t="n">
        <x:f>'05_OPEX'!G13-'05_OPEX'!G4</x:f>
        <x:v>353406</x:v>
      </x:c>
      <x:c r="C8" s="52" t="n">
        <x:f>'05_OPEX'!H13-'05_OPEX'!H4</x:f>
        <x:v>353406</x:v>
      </x:c>
      <x:c r="D8" s="52" t="n">
        <x:f>'05_OPEX'!I13-'05_OPEX'!I4</x:f>
        <x:v>353406</x:v>
      </x:c>
      <x:c r="E8" s="52" t="n">
        <x:f>'05_OPEX'!J13-'05_OPEX'!J4</x:f>
        <x:v>353406</x:v>
      </x:c>
      <x:c r="F8" s="52" t="n">
        <x:f>'05_OPEX'!K13-'05_OPEX'!K4</x:f>
        <x:v>353406</x:v>
      </x:c>
      <x:c r="G8" s="52" t="n">
        <x:f>'05_OPEX'!L13-'05_OPEX'!L4</x:f>
        <x:v>353406</x:v>
      </x:c>
      <x:c r="H8" s="52" t="n">
        <x:f>'05_OPEX'!M13-'05_OPEX'!M4</x:f>
        <x:v>353406</x:v>
      </x:c>
      <x:c r="I8" s="52" t="n">
        <x:f>'05_OPEX'!N13-'05_OPEX'!N4</x:f>
        <x:v>353406</x:v>
      </x:c>
      <x:c r="J8" s="52" t="n">
        <x:f>'05_OPEX'!O13-'05_OPEX'!O4</x:f>
        <x:v>353406</x:v>
      </x:c>
      <x:c r="K8" s="52" t="n">
        <x:f>'05_OPEX'!P13-'05_OPEX'!P4</x:f>
        <x:v>353406</x:v>
      </x:c>
      <x:c r="L8" s="52" t="n">
        <x:f>'05_OPEX'!Q13-'05_OPEX'!Q4</x:f>
        <x:v>353406</x:v>
      </x:c>
      <x:c r="M8" s="52" t="n">
        <x:f>'05_OPEX'!R13-'05_OPEX'!R4</x:f>
        <x:v>353406</x:v>
      </x:c>
      <x:c r="N8" s="52" t="n">
        <x:f>SUM(B8:M8)</x:f>
        <x:v>4240872</x:v>
      </x:c>
    </x:row>
    <x:row r="9">
      <x:c r="A9" t="str">
        <x:v>Masse salariale</x:v>
      </x:c>
      <x:c r="B9" s="52" t="n">
        <x:f>'06_RH'!I11</x:f>
        <x:v>303332.016</x:v>
      </x:c>
      <x:c r="C9" s="52" t="n">
        <x:f>'06_RH'!J11</x:f>
        <x:v>303332.016</x:v>
      </x:c>
      <x:c r="D9" s="52" t="n">
        <x:f>'06_RH'!K11</x:f>
        <x:v>303332.016</x:v>
      </x:c>
      <x:c r="E9" s="52" t="n">
        <x:f>'06_RH'!L11</x:f>
        <x:v>303332.016</x:v>
      </x:c>
      <x:c r="F9" s="52" t="n">
        <x:f>'06_RH'!M11</x:f>
        <x:v>303332.016</x:v>
      </x:c>
      <x:c r="G9" s="52" t="n">
        <x:f>'06_RH'!N11</x:f>
        <x:v>303332.016</x:v>
      </x:c>
      <x:c r="H9" s="52" t="n">
        <x:f>'06_RH'!O11</x:f>
        <x:v>337310.48</x:v>
      </x:c>
      <x:c r="I9" s="52" t="n">
        <x:f>'06_RH'!P11</x:f>
        <x:v>337310.48</x:v>
      </x:c>
      <x:c r="J9" s="52" t="n">
        <x:f>'06_RH'!Q11</x:f>
        <x:v>337310.48</x:v>
      </x:c>
      <x:c r="K9" s="52" t="n">
        <x:f>'06_RH'!R11</x:f>
        <x:v>337310.48</x:v>
      </x:c>
      <x:c r="L9" s="52" t="n">
        <x:f>'06_RH'!S11</x:f>
        <x:v>337310.48</x:v>
      </x:c>
      <x:c r="M9" s="52" t="n">
        <x:f>'06_RH'!T11</x:f>
        <x:v>337310.48</x:v>
      </x:c>
      <x:c r="N9" s="52" t="n">
        <x:f>SUM(B9:M9)</x:f>
        <x:v>3843854.9760000003</x:v>
      </x:c>
    </x:row>
    <x:row r="10">
      <x:c r="A10" s="47" t="str">
        <x:v>EBITDA</x:v>
      </x:c>
      <x:c r="B10" s="53" t="n">
        <x:f>B6-B8-B9</x:f>
        <x:v>256047.984</x:v>
      </x:c>
      <x:c r="C10" s="53" t="n">
        <x:f>C6-C8-C9</x:f>
        <x:v>256047.984</x:v>
      </x:c>
      <x:c r="D10" s="53" t="n">
        <x:f>D6-D8-D9</x:f>
        <x:v>370146.234</x:v>
      </x:c>
      <x:c r="E10" s="53" t="n">
        <x:f>E6-E8-E9</x:f>
        <x:v>370146.234</x:v>
      </x:c>
      <x:c r="F10" s="53" t="n">
        <x:f>F6-F8-F9</x:f>
        <x:v>484244.484</x:v>
      </x:c>
      <x:c r="G10" s="53" t="n">
        <x:f>G6-G8-G9</x:f>
        <x:v>484244.484</x:v>
      </x:c>
      <x:c r="H10" s="53" t="n">
        <x:f>H6-H8-H9</x:f>
        <x:v>450266.02</x:v>
      </x:c>
      <x:c r="I10" s="53" t="n">
        <x:f>I6-I8-I9</x:f>
        <x:v>450266.02</x:v>
      </x:c>
      <x:c r="J10" s="53" t="n">
        <x:f>J6-J8-J9</x:f>
        <x:v>450266.02</x:v>
      </x:c>
      <x:c r="K10" s="53" t="n">
        <x:f>K6-K8-K9</x:f>
        <x:v>450266.02</x:v>
      </x:c>
      <x:c r="L10" s="53" t="n">
        <x:f>L6-L8-L9</x:f>
        <x:v>564364.27</x:v>
      </x:c>
      <x:c r="M10" s="53" t="n">
        <x:f>M6-M8-M9</x:f>
        <x:v>564364.27</x:v>
      </x:c>
      <x:c r="N10" s="53" t="n">
        <x:f>SUM(B10:M10)</x:f>
        <x:v>5150670.024</x:v>
      </x:c>
    </x:row>
    <x:row r="11">
      <x:c r="A11" t="str">
        <x:v>EBITDA %</x:v>
      </x:c>
      <x:c r="B11" s="58" t="n">
        <x:f>IFERROR(B10/B4,0)</x:f>
        <x:v>0.1496067257823849</x:v>
      </x:c>
      <x:c r="C11" s="58" t="n">
        <x:f>IFERROR(C10/C4,0)</x:f>
        <x:v>0.1496067257823849</x:v>
      </x:c>
      <x:c r="D11" s="58" t="n">
        <x:f>IFERROR(D10/D4,0)</x:f>
        <x:v>0.20275630542098586</x:v>
      </x:c>
      <x:c r="E11" s="58" t="n">
        <x:f>IFERROR(E10/E4,0)</x:f>
        <x:v>0.20275630542098586</x:v>
      </x:c>
      <x:c r="F11" s="58" t="n">
        <x:f>IFERROR(F10/F4,0)</x:f>
        <x:v>0.24965299333739846</x:v>
      </x:c>
      <x:c r="G11" s="58" t="n">
        <x:f>IFERROR(G10/G4,0)</x:f>
        <x:v>0.24965299333739846</x:v>
      </x:c>
      <x:c r="H11" s="58" t="n">
        <x:f>IFERROR(H10/H4,0)</x:f>
        <x:v>0.23213534362348445</x:v>
      </x:c>
      <x:c r="I11" s="58" t="n">
        <x:f>IFERROR(I10/I4,0)</x:f>
        <x:v>0.23213534362348445</x:v>
      </x:c>
      <x:c r="J11" s="58" t="n">
        <x:f>IFERROR(J10/J4,0)</x:f>
        <x:v>0.23213534362348445</x:v>
      </x:c>
      <x:c r="K11" s="58" t="n">
        <x:f>IFERROR(K10/K4,0)</x:f>
        <x:v>0.23213534362348445</x:v>
      </x:c>
      <x:c r="L11" s="58" t="n">
        <x:f>IFERROR(L10/L4,0)</x:f>
        <x:v>0.2747944911999575</x:v>
      </x:c>
      <x:c r="M11" s="58" t="n">
        <x:f>IFERROR(M10/M4,0)</x:f>
        <x:v>0.2747944911999575</x:v>
      </x:c>
      <x:c r="N11" s="58" t="n">
        <x:f>IFERROR(N10/N4,0)</x:f>
        <x:v>0.2257120518500503</x:v>
      </x:c>
    </x:row>
    <x:row r="12">
      <x:c r="A12" t="str">
        <x:v>Amortissements</x:v>
      </x:c>
      <x:c r="B12" s="52" t="n">
        <x:f>'07_CAPEX'!I9</x:f>
        <x:v>3125</x:v>
      </x:c>
      <x:c r="C12" s="52" t="n">
        <x:f>'07_CAPEX'!J9</x:f>
        <x:v>13125</x:v>
      </x:c>
      <x:c r="D12" s="52" t="n">
        <x:f>'07_CAPEX'!K9</x:f>
        <x:v>20625</x:v>
      </x:c>
      <x:c r="E12" s="52" t="n">
        <x:f>'07_CAPEX'!L9</x:f>
        <x:v>20625</x:v>
      </x:c>
      <x:c r="F12" s="52" t="n">
        <x:f>'07_CAPEX'!M9</x:f>
        <x:v>34910.71428571428</x:v>
      </x:c>
      <x:c r="G12" s="52" t="n">
        <x:f>'07_CAPEX'!N9</x:f>
        <x:v>34910.71428571428</x:v>
      </x:c>
      <x:c r="H12" s="52" t="n">
        <x:f>'07_CAPEX'!O9</x:f>
        <x:v>34910.71428571428</x:v>
      </x:c>
      <x:c r="I12" s="52" t="n">
        <x:f>'07_CAPEX'!P9</x:f>
        <x:v>34910.71428571428</x:v>
      </x:c>
      <x:c r="J12" s="52" t="n">
        <x:f>'07_CAPEX'!Q9</x:f>
        <x:v>34910.71428571428</x:v>
      </x:c>
      <x:c r="K12" s="52" t="n">
        <x:f>'07_CAPEX'!R9</x:f>
        <x:v>34910.71428571428</x:v>
      </x:c>
      <x:c r="L12" s="52" t="n">
        <x:f>'07_CAPEX'!S9</x:f>
        <x:v>34910.71428571428</x:v>
      </x:c>
      <x:c r="M12" s="52" t="n">
        <x:f>'07_CAPEX'!T9</x:f>
        <x:v>34910.71428571428</x:v>
      </x:c>
      <x:c r="N12" s="52" t="n">
        <x:f>SUM(B12:M12)</x:f>
        <x:v>336785.71428571426</x:v>
      </x:c>
    </x:row>
    <x:row r="13">
      <x:c r="A13" s="47" t="str">
        <x:v>EBIT</x:v>
      </x:c>
      <x:c r="B13" s="53" t="n">
        <x:f>B10-B12</x:f>
        <x:v>252922.984</x:v>
      </x:c>
      <x:c r="C13" s="53" t="n">
        <x:f>C10-C12</x:f>
        <x:v>242922.984</x:v>
      </x:c>
      <x:c r="D13" s="53" t="n">
        <x:f>D10-D12</x:f>
        <x:v>349521.234</x:v>
      </x:c>
      <x:c r="E13" s="53" t="n">
        <x:f>E10-E12</x:f>
        <x:v>349521.234</x:v>
      </x:c>
      <x:c r="F13" s="53" t="n">
        <x:f>F10-F12</x:f>
        <x:v>449333.76971428574</x:v>
      </x:c>
      <x:c r="G13" s="53" t="n">
        <x:f>G10-G12</x:f>
        <x:v>449333.76971428574</x:v>
      </x:c>
      <x:c r="H13" s="53" t="n">
        <x:f>H10-H12</x:f>
        <x:v>415355.30571428576</x:v>
      </x:c>
      <x:c r="I13" s="53" t="n">
        <x:f>I10-I12</x:f>
        <x:v>415355.30571428576</x:v>
      </x:c>
      <x:c r="J13" s="53" t="n">
        <x:f>J10-J12</x:f>
        <x:v>415355.30571428576</x:v>
      </x:c>
      <x:c r="K13" s="53" t="n">
        <x:f>K10-K12</x:f>
        <x:v>415355.30571428576</x:v>
      </x:c>
      <x:c r="L13" s="53" t="n">
        <x:f>L10-L12</x:f>
        <x:v>529453.5557142857</x:v>
      </x:c>
      <x:c r="M13" s="53" t="n">
        <x:f>M10-M12</x:f>
        <x:v>529453.5557142857</x:v>
      </x:c>
      <x:c r="N13" s="53" t="n">
        <x:f>SUM(B13:M13)</x:f>
        <x:v>4813884.309714287</x:v>
      </x:c>
    </x:row>
    <x:row r="14">
      <x:c r="A14" t="str">
        <x:v>IS théorique</x:v>
      </x:c>
      <x:c r="B14" s="52" t="n">
        <x:f>MAX(0,B13*'01_Paramètres'!$B$8)</x:f>
        <x:v>50584.5968</x:v>
      </x:c>
      <x:c r="C14" s="52" t="n">
        <x:f>MAX(0,C13*'01_Paramètres'!$B$8)</x:f>
        <x:v>48584.5968</x:v>
      </x:c>
      <x:c r="D14" s="52" t="n">
        <x:f>MAX(0,D13*'01_Paramètres'!$B$8)</x:f>
        <x:v>69904.24680000001</x:v>
      </x:c>
      <x:c r="E14" s="52" t="n">
        <x:f>MAX(0,E13*'01_Paramètres'!$B$8)</x:f>
        <x:v>69904.24680000001</x:v>
      </x:c>
      <x:c r="F14" s="52" t="n">
        <x:f>MAX(0,F13*'01_Paramètres'!$B$8)</x:f>
        <x:v>89866.75394285715</x:v>
      </x:c>
      <x:c r="G14" s="52" t="n">
        <x:f>MAX(0,G13*'01_Paramètres'!$B$8)</x:f>
        <x:v>89866.75394285715</x:v>
      </x:c>
      <x:c r="H14" s="52" t="n">
        <x:f>MAX(0,H13*'01_Paramètres'!$B$8)</x:f>
        <x:v>83071.06114285716</x:v>
      </x:c>
      <x:c r="I14" s="52" t="n">
        <x:f>MAX(0,I13*'01_Paramètres'!$B$8)</x:f>
        <x:v>83071.06114285716</x:v>
      </x:c>
      <x:c r="J14" s="52" t="n">
        <x:f>MAX(0,J13*'01_Paramètres'!$B$8)</x:f>
        <x:v>83071.06114285716</x:v>
      </x:c>
      <x:c r="K14" s="52" t="n">
        <x:f>MAX(0,K13*'01_Paramètres'!$B$8)</x:f>
        <x:v>83071.06114285716</x:v>
      </x:c>
      <x:c r="L14" s="52" t="n">
        <x:f>MAX(0,L13*'01_Paramètres'!$B$8)</x:f>
        <x:v>105890.71114285715</x:v>
      </x:c>
      <x:c r="M14" s="52" t="n">
        <x:f>MAX(0,M13*'01_Paramètres'!$B$8)</x:f>
        <x:v>105890.71114285715</x:v>
      </x:c>
      <x:c r="N14" s="52" t="n">
        <x:f>SUM(B14:M14)</x:f>
        <x:v>962776.8619428573</x:v>
      </x:c>
    </x:row>
    <x:row r="15">
      <x:c r="A15" s="47" t="str">
        <x:v>Résultat net</x:v>
      </x:c>
      <x:c r="B15" s="53" t="n">
        <x:f>B13-B14</x:f>
        <x:v>202338.3872</x:v>
      </x:c>
      <x:c r="C15" s="53" t="n">
        <x:f>C13-C14</x:f>
        <x:v>194338.3872</x:v>
      </x:c>
      <x:c r="D15" s="53" t="n">
        <x:f>D13-D14</x:f>
        <x:v>279616.9872</x:v>
      </x:c>
      <x:c r="E15" s="53" t="n">
        <x:f>E13-E14</x:f>
        <x:v>279616.9872</x:v>
      </x:c>
      <x:c r="F15" s="53" t="n">
        <x:f>F13-F14</x:f>
        <x:v>359467.0157714286</x:v>
      </x:c>
      <x:c r="G15" s="53" t="n">
        <x:f>G13-G14</x:f>
        <x:v>359467.0157714286</x:v>
      </x:c>
      <x:c r="H15" s="53" t="n">
        <x:f>H13-H14</x:f>
        <x:v>332284.24457142863</x:v>
      </x:c>
      <x:c r="I15" s="53" t="n">
        <x:f>I13-I14</x:f>
        <x:v>332284.24457142863</x:v>
      </x:c>
      <x:c r="J15" s="53" t="n">
        <x:f>J13-J14</x:f>
        <x:v>332284.24457142863</x:v>
      </x:c>
      <x:c r="K15" s="53" t="n">
        <x:f>K13-K14</x:f>
        <x:v>332284.24457142863</x:v>
      </x:c>
      <x:c r="L15" s="53" t="n">
        <x:f>L13-L14</x:f>
        <x:v>423562.84457142855</x:v>
      </x:c>
      <x:c r="M15" s="53" t="n">
        <x:f>M13-M14</x:f>
        <x:v>423562.84457142855</x:v>
      </x:c>
      <x:c r="N15" s="53" t="n">
        <x:f>SUM(B15:M15)</x:f>
        <x:v>3851107.4477714286</x:v>
      </x:c>
    </x:row>
  </x:sheetData>
  <x:mergeCells>
    <x:mergeCell ref="A1:N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4" hidden="0" customWidth="1"/>
    <x:col min="8" max="8" width="34" hidden="0" customWidth="1"/>
  </x:cols>
  <x:sheetData>
    <x:row r="1" ht="28" customHeight="1">
      <x:c r="A1" s="5" t="str">
        <x:v>10 — ANALYSE DES ÉCARTS &amp; ACTIONS</x:v>
      </x:c>
    </x:row>
    <x:row r="3">
      <x:c r="A3" s="19" t="str">
        <x:v>KPI</x:v>
      </x:c>
      <x:c r="B3" s="19" t="str">
        <x:v>Budget FY</x:v>
      </x:c>
      <x:c r="C3" s="19" t="str">
        <x:v>Réalisé YTD</x:v>
      </x:c>
      <x:c r="D3" s="19" t="str">
        <x:v>Forecast FY</x:v>
      </x:c>
      <x:c r="E3" s="19" t="str">
        <x:v>Écart vs Budget</x:v>
      </x:c>
      <x:c r="F3" s="19" t="str">
        <x:v>Écart %</x:v>
      </x:c>
      <x:c r="G3" s="19" t="str">
        <x:v>Cause principale</x:v>
      </x:c>
      <x:c r="H3" s="19" t="str">
        <x:v>Action</x:v>
      </x:c>
    </x:row>
    <x:row r="4">
      <x:c r="A4" t="str">
        <x:v>Chiffre d’affaires</x:v>
      </x:c>
      <x:c r="B4" s="52" t="n">
        <x:f>'09_P&amp;L'!N4</x:f>
        <x:v>22819650</x:v>
      </x:c>
      <x:c r="C4" s="50" t="n">
        <x:v>0</x:v>
      </x:c>
      <x:c r="D4" s="50" t="n">
        <x:v>0</x:v>
      </x:c>
      <x:c r="E4" s="52" t="n">
        <x:f>D4-B4</x:f>
        <x:v>-22819650</x:v>
      </x:c>
      <x:c r="F4" s="58" t="n">
        <x:f>IFERROR(E4/B4,0)</x:f>
        <x:v>-1</x:v>
      </x:c>
      <x:c r="G4" s="27"/>
      <x:c r="H4" s="27"/>
    </x:row>
    <x:row r="5">
      <x:c r="A5" t="str">
        <x:v>Marge brute</x:v>
      </x:c>
      <x:c r="B5" s="52" t="n">
        <x:f>'09_P&amp;L'!N6</x:f>
        <x:v>13235397</x:v>
      </x:c>
      <x:c r="C5" s="50" t="n">
        <x:v>0</x:v>
      </x:c>
      <x:c r="D5" s="50" t="n">
        <x:v>0</x:v>
      </x:c>
      <x:c r="E5" s="52" t="n">
        <x:f>D5-B5</x:f>
        <x:v>-13235397</x:v>
      </x:c>
      <x:c r="F5" s="58" t="n">
        <x:f>IFERROR(E5/B5,0)</x:f>
        <x:v>-1</x:v>
      </x:c>
      <x:c r="G5" s="27"/>
      <x:c r="H5" s="27"/>
    </x:row>
    <x:row r="6">
      <x:c r="A6" t="str">
        <x:v>EBITDA</x:v>
      </x:c>
      <x:c r="B6" s="52" t="n">
        <x:f>'09_P&amp;L'!N10</x:f>
        <x:v>5150670.024</x:v>
      </x:c>
      <x:c r="C6" s="50" t="n">
        <x:v>0</x:v>
      </x:c>
      <x:c r="D6" s="50" t="n">
        <x:v>0</x:v>
      </x:c>
      <x:c r="E6" s="52" t="n">
        <x:f>D6-B6</x:f>
        <x:v>-5150670.024</x:v>
      </x:c>
      <x:c r="F6" s="58" t="n">
        <x:f>IFERROR(E6/B6,0)</x:f>
        <x:v>-1</x:v>
      </x:c>
      <x:c r="G6" s="27"/>
      <x:c r="H6" s="27"/>
    </x:row>
    <x:row r="7">
      <x:c r="A7" t="str">
        <x:v>Résultat net</x:v>
      </x:c>
      <x:c r="B7" s="52" t="n">
        <x:f>'09_P&amp;L'!N15</x:f>
        <x:v>3851107.4477714286</x:v>
      </x:c>
      <x:c r="C7" s="50" t="n">
        <x:v>0</x:v>
      </x:c>
      <x:c r="D7" s="50" t="n">
        <x:v>0</x:v>
      </x:c>
      <x:c r="E7" s="52" t="n">
        <x:f>D7-B7</x:f>
        <x:v>-3851107.4477714286</x:v>
      </x:c>
      <x:c r="F7" s="58" t="n">
        <x:f>IFERROR(E7/B7,0)</x:f>
        <x:v>-1</x:v>
      </x:c>
      <x:c r="G7" s="27"/>
      <x:c r="H7" s="27"/>
    </x:row>
    <x:row r="8">
      <x:c r="A8" t="str">
        <x:v>BFR fin d’année</x:v>
      </x:c>
      <x:c r="B8" s="52" t="n">
        <x:f>'08_BFR_Trésorerie'!N9</x:f>
        <x:v>4107537</x:v>
      </x:c>
      <x:c r="C8" s="50" t="n">
        <x:v>0</x:v>
      </x:c>
      <x:c r="D8" s="50" t="n">
        <x:v>0</x:v>
      </x:c>
      <x:c r="E8" s="52" t="n">
        <x:f>D8-B8</x:f>
        <x:v>-4107537</x:v>
      </x:c>
      <x:c r="F8" s="58" t="n">
        <x:f>IFERROR(E8/B8,0)</x:f>
        <x:v>-1</x:v>
      </x:c>
      <x:c r="G8" s="27"/>
      <x:c r="H8" s="27"/>
    </x:row>
    <x:row r="9">
      <x:c r="A9" t="str">
        <x:v>CAPEX</x:v>
      </x:c>
      <x:c r="B9" s="52" t="n">
        <x:f>'07_CAPEX'!F9</x:f>
        <x:v>2550000</x:v>
      </x:c>
      <x:c r="C9" s="50" t="n">
        <x:v>0</x:v>
      </x:c>
      <x:c r="D9" s="50" t="n">
        <x:v>0</x:v>
      </x:c>
      <x:c r="E9" s="52" t="n">
        <x:f>D9-B9</x:f>
        <x:v>-2550000</x:v>
      </x:c>
      <x:c r="F9" s="58" t="n">
        <x:f>IFERROR(E9/B9,0)</x:f>
        <x:v>-1</x:v>
      </x:c>
      <x:c r="G9" s="27"/>
      <x:c r="H9" s="27"/>
    </x:row>
    <x:row r="10">
      <x:c r="A10" t="str">
        <x:v>Masse salariale</x:v>
      </x:c>
      <x:c r="B10" s="52" t="n">
        <x:f>'06_RH'!H11</x:f>
        <x:v>3843854.9760000003</x:v>
      </x:c>
      <x:c r="C10" s="50" t="n">
        <x:v>0</x:v>
      </x:c>
      <x:c r="D10" s="50" t="n">
        <x:v>0</x:v>
      </x:c>
      <x:c r="E10" s="52" t="n">
        <x:f>D10-B10</x:f>
        <x:v>-3843854.9760000003</x:v>
      </x:c>
      <x:c r="F10" s="58" t="n">
        <x:f>IFERROR(E10/B10,0)</x:f>
        <x:v>-1</x:v>
      </x:c>
      <x:c r="G10" s="27"/>
      <x:c r="H10" s="27"/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2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5" t="str">
        <x:v>11 — COCKPIT DIRECTION | BUDGET 2027</x:v>
      </x:c>
    </x:row>
    <x:row r="3">
      <x:c r="A3" s="38" t="str">
        <x:v>KPI DE DIRECTION</x:v>
      </x:c>
    </x:row>
    <x:row r="4">
      <x:c r="A4" s="19" t="str">
        <x:v>KPI</x:v>
      </x:c>
      <x:c r="B4" s="19" t="str">
        <x:v>Budget FY</x:v>
      </x:c>
      <x:c r="C4" s="19" t="str">
        <x:v>Objectif / seuil</x:v>
      </x:c>
      <x:c r="D4" s="19" t="str">
        <x:v>Statut</x:v>
      </x:c>
      <x:c r="E4" s="19" t="str">
        <x:v>Commentaire</x:v>
      </x:c>
      <x:c r="F4" s="19" t="str">
        <x:v>Unité</x:v>
      </x:c>
      <x:c r="G4" s="19" t="str">
        <x:v>Source</x:v>
      </x:c>
    </x:row>
    <x:row r="5">
      <x:c r="A5" t="str">
        <x:v>CA</x:v>
      </x:c>
      <x:c r="B5" s="52" t="n">
        <x:f>'09_P&amp;L'!N4</x:f>
        <x:v>22819650</x:v>
      </x:c>
      <x:c r="C5" s="50" t="n">
        <x:v>25000000</x:v>
      </x:c>
      <x:c r="D5" t="str">
        <x:f>IF(B5&gt;=C5,"VERT","ROUGE")</x:f>
        <x:v>ROUGE</x:v>
      </x:c>
      <x:c r="E5" t="str">
        <x:v>Croissance &amp; mix</x:v>
      </x:c>
      <x:c r="F5" t="str">
        <x:v>MAD</x:v>
      </x:c>
      <x:c r="G5" t="str">
        <x:v>P&amp;L</x:v>
      </x:c>
    </x:row>
    <x:row r="6">
      <x:c r="A6" t="str">
        <x:v>Marge brute</x:v>
      </x:c>
      <x:c r="B6" s="52" t="n">
        <x:f>'09_P&amp;L'!N6</x:f>
        <x:v>13235397</x:v>
      </x:c>
      <x:c r="C6" s="63" t="n">
        <x:v>0.5</x:v>
      </x:c>
      <x:c r="D6" t="str">
        <x:f>IF(B6/B5&gt;=C6,"VERT","ORANGE")</x:f>
        <x:v>VERT</x:v>
      </x:c>
      <x:c r="E6" t="str">
        <x:v>Qualité de marge</x:v>
      </x:c>
      <x:c r="F6" t="str">
        <x:v>MAD</x:v>
      </x:c>
      <x:c r="G6" t="str">
        <x:v>P&amp;L</x:v>
      </x:c>
    </x:row>
    <x:row r="7">
      <x:c r="A7" t="str">
        <x:v>Marge EBITDA</x:v>
      </x:c>
      <x:c r="B7" s="58" t="n">
        <x:f>'09_P&amp;L'!N11</x:f>
        <x:v>0.2257120518500503</x:v>
      </x:c>
      <x:c r="C7" s="63" t="n">
        <x:v>0.15</x:v>
      </x:c>
      <x:c r="D7" t="str">
        <x:f>IF(B7&gt;=C7,"VERT","ORANGE")</x:f>
        <x:v>VERT</x:v>
      </x:c>
      <x:c r="E7" t="str">
        <x:v>Rentabilité opérationnelle</x:v>
      </x:c>
      <x:c r="F7" t="str">
        <x:v>%</x:v>
      </x:c>
      <x:c r="G7" t="str">
        <x:v>P&amp;L</x:v>
      </x:c>
    </x:row>
    <x:row r="8">
      <x:c r="A8" t="str">
        <x:v>Résultat net</x:v>
      </x:c>
      <x:c r="B8" s="52" t="n">
        <x:f>'09_P&amp;L'!N15</x:f>
        <x:v>3851107.4477714286</x:v>
      </x:c>
      <x:c r="C8" s="50" t="n">
        <x:v>0</x:v>
      </x:c>
      <x:c r="D8" t="str">
        <x:f>IF(B8&gt;=C8,"VERT","ROUGE")</x:f>
        <x:v>VERT</x:v>
      </x:c>
      <x:c r="E8" t="str">
        <x:v>Création de valeur</x:v>
      </x:c>
      <x:c r="F8" t="str">
        <x:v>MAD</x:v>
      </x:c>
      <x:c r="G8" t="str">
        <x:v>P&amp;L</x:v>
      </x:c>
    </x:row>
    <x:row r="9">
      <x:c r="A9" t="str">
        <x:v>BFR fin d’année</x:v>
      </x:c>
      <x:c r="B9" s="52" t="n">
        <x:f>'08_BFR_Trésorerie'!N9</x:f>
        <x:v>4107537</x:v>
      </x:c>
      <x:c r="C9" s="50" t="n">
        <x:v>5000000</x:v>
      </x:c>
      <x:c r="D9" t="str">
        <x:f>IF(B9&lt;=C9,"VERT","ORANGE")</x:f>
        <x:v>VERT</x:v>
      </x:c>
      <x:c r="E9" t="str">
        <x:v>Cash immobilisé</x:v>
      </x:c>
      <x:c r="F9" t="str">
        <x:v>MAD</x:v>
      </x:c>
      <x:c r="G9" t="str">
        <x:v>BFR</x:v>
      </x:c>
    </x:row>
    <x:row r="10">
      <x:c r="A10" t="str">
        <x:v>CAPEX</x:v>
      </x:c>
      <x:c r="B10" s="52" t="n">
        <x:f>'07_CAPEX'!F9</x:f>
        <x:v>2550000</x:v>
      </x:c>
      <x:c r="C10" s="50" t="n">
        <x:v>3000000</x:v>
      </x:c>
      <x:c r="D10" t="str">
        <x:f>IF(B10&lt;=C10,"VERT","ORANGE")</x:f>
        <x:v>VERT</x:v>
      </x:c>
      <x:c r="E10" t="str">
        <x:v>Investissements</x:v>
      </x:c>
      <x:c r="F10" t="str">
        <x:v>MAD</x:v>
      </x:c>
      <x:c r="G10" t="str">
        <x:v>CAPEX</x:v>
      </x:c>
    </x:row>
    <x:row r="11">
      <x:c r="A11" t="str">
        <x:v>Masse salariale</x:v>
      </x:c>
      <x:c r="B11" s="52" t="n">
        <x:f>'06_RH'!H11</x:f>
        <x:v>3843854.9760000003</x:v>
      </x:c>
      <x:c r="C11" s="50" t="n">
        <x:v>4000000</x:v>
      </x:c>
      <x:c r="D11" t="str">
        <x:f>IF(B11&lt;=C11,"VERT","ORANGE")</x:f>
        <x:v>VERT</x:v>
      </x:c>
      <x:c r="E11" t="str">
        <x:v>Coût complet</x:v>
      </x:c>
      <x:c r="F11" t="str">
        <x:v>MAD</x:v>
      </x:c>
      <x:c r="G11" t="str">
        <x:v>RH</x:v>
      </x:c>
    </x:row>
    <x:row r="14">
      <x:c r="A14" s="38" t="str">
        <x:v>TRAJECTOIRE MENSUELLE</x:v>
      </x:c>
    </x:row>
    <x:row r="15">
      <x:c r="A15" s="19" t="str">
        <x:v>Indicateur</x:v>
      </x:c>
      <x:c r="B15" s="19" t="str">
        <x:v>Jan</x:v>
      </x:c>
      <x:c r="C15" s="19" t="str">
        <x:v>Fév</x:v>
      </x:c>
      <x:c r="D15" s="19" t="str">
        <x:v>Mar</x:v>
      </x:c>
      <x:c r="E15" s="19" t="str">
        <x:v>Avr</x:v>
      </x:c>
      <x:c r="F15" s="19" t="str">
        <x:v>Mai</x:v>
      </x:c>
      <x:c r="G15" s="19" t="str">
        <x:v>Juin</x:v>
      </x:c>
      <x:c r="H15" s="19" t="str">
        <x:v>Juil</x:v>
      </x:c>
      <x:c r="I15" s="19" t="str">
        <x:v>Aoû</x:v>
      </x:c>
      <x:c r="J15" s="19" t="str">
        <x:v>Sep</x:v>
      </x:c>
      <x:c r="K15" s="19" t="str">
        <x:v>Oct</x:v>
      </x:c>
      <x:c r="L15" s="19" t="str">
        <x:v>Nov</x:v>
      </x:c>
      <x:c r="M15" s="19" t="str">
        <x:v>Déc</x:v>
      </x:c>
      <x:c r="N15" s="19" t="str">
        <x:v>FY</x:v>
      </x:c>
    </x:row>
    <x:row r="16">
      <x:c r="A16" t="str">
        <x:v>CA</x:v>
      </x:c>
      <x:c r="B16" s="52" t="n">
        <x:f>'09_P&amp;L'!B4</x:f>
        <x:v>1711473.75</x:v>
      </x:c>
      <x:c r="C16" s="52" t="n">
        <x:f>'09_P&amp;L'!C4</x:f>
        <x:v>1711473.75</x:v>
      </x:c>
      <x:c r="D16" s="52" t="n">
        <x:f>'09_P&amp;L'!D4</x:f>
        <x:v>1825572</x:v>
      </x:c>
      <x:c r="E16" s="52" t="n">
        <x:f>'09_P&amp;L'!E4</x:f>
        <x:v>1825572</x:v>
      </x:c>
      <x:c r="F16" s="52" t="n">
        <x:f>'09_P&amp;L'!F4</x:f>
        <x:v>1939670.25</x:v>
      </x:c>
      <x:c r="G16" s="52" t="n">
        <x:f>'09_P&amp;L'!G4</x:f>
        <x:v>1939670.25</x:v>
      </x:c>
      <x:c r="H16" s="52" t="n">
        <x:f>'09_P&amp;L'!H4</x:f>
        <x:v>1939670.25</x:v>
      </x:c>
      <x:c r="I16" s="52" t="n">
        <x:f>'09_P&amp;L'!I4</x:f>
        <x:v>1939670.25</x:v>
      </x:c>
      <x:c r="J16" s="52" t="n">
        <x:f>'09_P&amp;L'!J4</x:f>
        <x:v>1939670.25</x:v>
      </x:c>
      <x:c r="K16" s="52" t="n">
        <x:f>'09_P&amp;L'!K4</x:f>
        <x:v>1939670.25</x:v>
      </x:c>
      <x:c r="L16" s="52" t="n">
        <x:f>'09_P&amp;L'!L4</x:f>
        <x:v>2053768.5</x:v>
      </x:c>
      <x:c r="M16" s="52" t="n">
        <x:f>'09_P&amp;L'!M4</x:f>
        <x:v>2053768.5</x:v>
      </x:c>
      <x:c r="N16" s="52" t="n">
        <x:f>SUM(B16:M16)</x:f>
        <x:v>22819650</x:v>
      </x:c>
    </x:row>
    <x:row r="17">
      <x:c r="A17" t="str">
        <x:v>EBITDA</x:v>
      </x:c>
      <x:c r="B17" s="52" t="n">
        <x:f>'09_P&amp;L'!B10</x:f>
        <x:v>256047.984</x:v>
      </x:c>
      <x:c r="C17" s="52" t="n">
        <x:f>'09_P&amp;L'!C10</x:f>
        <x:v>256047.984</x:v>
      </x:c>
      <x:c r="D17" s="52" t="n">
        <x:f>'09_P&amp;L'!D10</x:f>
        <x:v>370146.234</x:v>
      </x:c>
      <x:c r="E17" s="52" t="n">
        <x:f>'09_P&amp;L'!E10</x:f>
        <x:v>370146.234</x:v>
      </x:c>
      <x:c r="F17" s="52" t="n">
        <x:f>'09_P&amp;L'!F10</x:f>
        <x:v>484244.484</x:v>
      </x:c>
      <x:c r="G17" s="52" t="n">
        <x:f>'09_P&amp;L'!G10</x:f>
        <x:v>484244.484</x:v>
      </x:c>
      <x:c r="H17" s="52" t="n">
        <x:f>'09_P&amp;L'!H10</x:f>
        <x:v>450266.02</x:v>
      </x:c>
      <x:c r="I17" s="52" t="n">
        <x:f>'09_P&amp;L'!I10</x:f>
        <x:v>450266.02</x:v>
      </x:c>
      <x:c r="J17" s="52" t="n">
        <x:f>'09_P&amp;L'!J10</x:f>
        <x:v>450266.02</x:v>
      </x:c>
      <x:c r="K17" s="52" t="n">
        <x:f>'09_P&amp;L'!K10</x:f>
        <x:v>450266.02</x:v>
      </x:c>
      <x:c r="L17" s="52" t="n">
        <x:f>'09_P&amp;L'!L10</x:f>
        <x:v>564364.27</x:v>
      </x:c>
      <x:c r="M17" s="52" t="n">
        <x:f>'09_P&amp;L'!M10</x:f>
        <x:v>564364.27</x:v>
      </x:c>
      <x:c r="N17" s="52" t="n">
        <x:f>SUM(B17:M17)</x:f>
        <x:v>5150670.024</x:v>
      </x:c>
    </x:row>
    <x:row r="18">
      <x:c r="A18" t="str">
        <x:v>Résultat net</x:v>
      </x:c>
      <x:c r="B18" s="52" t="n">
        <x:f>'09_P&amp;L'!B15</x:f>
        <x:v>202338.3872</x:v>
      </x:c>
      <x:c r="C18" s="52" t="n">
        <x:f>'09_P&amp;L'!C15</x:f>
        <x:v>194338.3872</x:v>
      </x:c>
      <x:c r="D18" s="52" t="n">
        <x:f>'09_P&amp;L'!D15</x:f>
        <x:v>279616.9872</x:v>
      </x:c>
      <x:c r="E18" s="52" t="n">
        <x:f>'09_P&amp;L'!E15</x:f>
        <x:v>279616.9872</x:v>
      </x:c>
      <x:c r="F18" s="52" t="n">
        <x:f>'09_P&amp;L'!F15</x:f>
        <x:v>359467.0157714286</x:v>
      </x:c>
      <x:c r="G18" s="52" t="n">
        <x:f>'09_P&amp;L'!G15</x:f>
        <x:v>359467.0157714286</x:v>
      </x:c>
      <x:c r="H18" s="52" t="n">
        <x:f>'09_P&amp;L'!H15</x:f>
        <x:v>332284.24457142863</x:v>
      </x:c>
      <x:c r="I18" s="52" t="n">
        <x:f>'09_P&amp;L'!I15</x:f>
        <x:v>332284.24457142863</x:v>
      </x:c>
      <x:c r="J18" s="52" t="n">
        <x:f>'09_P&amp;L'!J15</x:f>
        <x:v>332284.24457142863</x:v>
      </x:c>
      <x:c r="K18" s="52" t="n">
        <x:f>'09_P&amp;L'!K15</x:f>
        <x:v>332284.24457142863</x:v>
      </x:c>
      <x:c r="L18" s="52" t="n">
        <x:f>'09_P&amp;L'!L15</x:f>
        <x:v>423562.84457142855</x:v>
      </x:c>
      <x:c r="M18" s="52" t="n">
        <x:f>'09_P&amp;L'!M15</x:f>
        <x:v>423562.84457142855</x:v>
      </x:c>
      <x:c r="N18" s="52" t="n">
        <x:f>SUM(B18:M18)</x:f>
        <x:v>3851107.4477714286</x:v>
      </x:c>
    </x:row>
    <x:row r="19">
      <x:c r="A19" t="str">
        <x:v>Cash-flow op. approx.</x:v>
      </x:c>
      <x:c r="B19" s="52" t="n">
        <x:f>'08_BFR_Trésorerie'!B13</x:f>
        <x:v>-4265587.266</x:v>
      </x:c>
      <x:c r="C19" s="52" t="n">
        <x:f>'08_BFR_Trésorerie'!C13</x:f>
        <x:v>-1142639.766</x:v>
      </x:c>
      <x:c r="D19" s="52" t="n">
        <x:f>'08_BFR_Trésorerie'!D13</x:f>
        <x:v>-1106738.016</x:v>
      </x:c>
      <x:c r="E19" s="52" t="n">
        <x:f>'08_BFR_Trésorerie'!E13</x:f>
        <x:v>-428541.516</x:v>
      </x:c>
      <x:c r="F19" s="52" t="n">
        <x:f>'08_BFR_Trésorerie'!F13</x:f>
        <x:v>-1742639.766</x:v>
      </x:c>
      <x:c r="G19" s="52" t="n">
        <x:f>'08_BFR_Trésorerie'!G13</x:f>
        <x:v>-314443.266</x:v>
      </x:c>
      <x:c r="H19" s="52" t="n">
        <x:f>'08_BFR_Trésorerie'!H13</x:f>
        <x:v>-348421.73</x:v>
      </x:c>
      <x:c r="I19" s="52" t="n">
        <x:f>'08_BFR_Trésorerie'!I13</x:f>
        <x:v>-348421.73</x:v>
      </x:c>
      <x:c r="J19" s="52" t="n">
        <x:f>'08_BFR_Trésorerie'!J13</x:f>
        <x:v>-348421.73</x:v>
      </x:c>
      <x:c r="K19" s="52" t="n">
        <x:f>'08_BFR_Trésorerie'!K13</x:f>
        <x:v>-348421.73</x:v>
      </x:c>
      <x:c r="L19" s="52" t="n">
        <x:f>'08_BFR_Trésorerie'!L13</x:f>
        <x:v>-462519.98</x:v>
      </x:c>
      <x:c r="M19" s="52" t="n">
        <x:f>'08_BFR_Trésorerie'!M13</x:f>
        <x:v>-234323.47999999998</x:v>
      </x:c>
      <x:c r="N19" s="52" t="n">
        <x:f>SUM(B19:M19)</x:f>
        <x:v>-11091119.976000004</x:v>
      </x:c>
    </x:row>
  </x:sheetData>
  <x:mergeCells>
    <x:mergeCell ref="A1:N1"/>
    <x:mergeCell ref="A3:N3"/>
    <x:mergeCell ref="A14:N14"/>
  </x:mergeCells>
  <x:pageMargins left="0.7" right="0.7" top="0.75" bottom="0.75" header="0.3" footer="0.3"/>
  <x:drawing xmlns:r="http://schemas.openxmlformats.org/officeDocument/2006/relationships" r:id="R86dfc24929b546c5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14" hidden="0" customWidth="1"/>
    <x:col min="5" max="5" width="34" hidden="0" customWidth="1"/>
    <x:col min="6" max="6" width="34" hidden="0" customWidth="1"/>
    <x:col min="7" max="7" width="14" hidden="0" customWidth="1"/>
    <x:col min="8" max="8" width="14" hidden="0" customWidth="1"/>
  </x:cols>
  <x:sheetData>
    <x:row r="1" ht="28" customHeight="1">
      <x:c r="A1" s="5" t="str">
        <x:v>12 — DEEP AUDIT DU MODÈLE SOURCE &amp; CORRECTIONS L99</x:v>
      </x:c>
    </x:row>
    <x:row r="3">
      <x:c r="A3" s="19" t="str">
        <x:v>Dimension auditée</x:v>
      </x:c>
      <x:c r="B3" s="19" t="str">
        <x:v>Constat source</x:v>
      </x:c>
      <x:c r="C3" s="19" t="str">
        <x:v>Risque</x:v>
      </x:c>
      <x:c r="D3" s="19" t="str">
        <x:v>Niveau</x:v>
      </x:c>
      <x:c r="E3" s="19" t="str">
        <x:v>Correction L99</x:v>
      </x:c>
      <x:c r="F3" s="19" t="str">
        <x:v>Bénéfice</x:v>
      </x:c>
      <x:c r="G3" s="19" t="str">
        <x:v>Priorité</x:v>
      </x:c>
      <x:c r="H3" s="19" t="str">
        <x:v>Statut</x:v>
      </x:c>
    </x:row>
    <x:row r="4">
      <x:c r="A4" s="12" t="str">
        <x:v>Architecture</x:v>
      </x:c>
      <x:c r="B4" s="12" t="str">
        <x:v>Hypothèses, calculs et restitution dispersés</x:v>
      </x:c>
      <x:c r="C4" s="12" t="str">
        <x:v>Erreurs / maintenance</x:v>
      </x:c>
      <x:c r="D4" s="12" t="str">
        <x:v>Élevé</x:v>
      </x:c>
      <x:c r="E4" s="12" t="str">
        <x:v>Séparation Inputs / Engines / Outputs</x:v>
      </x:c>
      <x:c r="F4" s="12" t="str">
        <x:v>Traçabilité et robustesse</x:v>
      </x:c>
      <x:c r="G4" s="12" t="str">
        <x:v>P0</x:v>
      </x:c>
      <x:c r="H4" s="12" t="str">
        <x:v>Corrigé</x:v>
      </x:c>
    </x:row>
    <x:row r="5">
      <x:c r="A5" s="12" t="str">
        <x:v>Budget par compte</x:v>
      </x:c>
      <x:c r="B5" s="12" t="str">
        <x:v>Très complet mais mécanique</x:v>
      </x:c>
      <x:c r="C5" s="12" t="str">
        <x:v>Faux sentiment de précision</x:v>
      </x:c>
      <x:c r="D5" s="12" t="str">
        <x:v>Moyen</x:v>
      </x:c>
      <x:c r="E5" s="12" t="str">
        <x:v>Drivers économiques par nature de coût</x:v>
      </x:c>
      <x:c r="F5" s="12" t="str">
        <x:v>Budget causal</x:v>
      </x:c>
      <x:c r="G5" s="12" t="str">
        <x:v>P0</x:v>
      </x:c>
      <x:c r="H5" s="12" t="str">
        <x:v>Corrigé</x:v>
      </x:c>
    </x:row>
    <x:row r="6">
      <x:c r="A6" s="12" t="str">
        <x:v>Revenus</x:v>
      </x:c>
      <x:c r="B6" s="12" t="str">
        <x:v>Croissance principalement top-down</x:v>
      </x:c>
      <x:c r="C6" s="12" t="str">
        <x:v>Faible explicabilité</x:v>
      </x:c>
      <x:c r="D6" s="12" t="str">
        <x:v>Élevé</x:v>
      </x:c>
      <x:c r="E6" s="12" t="str">
        <x:v>Volume x prix x mix x saisonnalité</x:v>
      </x:c>
      <x:c r="F6" s="12" t="str">
        <x:v>Analyse prix-volume</x:v>
      </x:c>
      <x:c r="G6" s="12" t="str">
        <x:v>P0</x:v>
      </x:c>
      <x:c r="H6" s="12" t="str">
        <x:v>Corrigé</x:v>
      </x:c>
    </x:row>
    <x:row r="7">
      <x:c r="A7" s="12" t="str">
        <x:v>Scénarios</x:v>
      </x:c>
      <x:c r="B7" s="12" t="str">
        <x:v>Présence partielle</x:v>
      </x:c>
      <x:c r="C7" s="12" t="str">
        <x:v>Scénarios peu intégrés</x:v>
      </x:c>
      <x:c r="D7" s="12" t="str">
        <x:v>Moyen</x:v>
      </x:c>
      <x:c r="E7" s="12" t="str">
        <x:v>Prudent/Central/Ambitieux connectés</x:v>
      </x:c>
      <x:c r="F7" s="12" t="str">
        <x:v>Stress test</x:v>
      </x:c>
      <x:c r="G7" s="12" t="str">
        <x:v>P0</x:v>
      </x:c>
      <x:c r="H7" s="12" t="str">
        <x:v>Corrigé</x:v>
      </x:c>
    </x:row>
    <x:row r="8">
      <x:c r="A8" s="12" t="str">
        <x:v>RH</x:v>
      </x:c>
      <x:c r="B8" s="12" t="str">
        <x:v>Logique payroll perfectible</x:v>
      </x:c>
      <x:c r="C8" s="12" t="str">
        <x:v>Sous/sur-évaluation</x:v>
      </x:c>
      <x:c r="D8" s="12" t="str">
        <x:v>Élevé</x:v>
      </x:c>
      <x:c r="E8" s="12" t="str">
        <x:v>ETP x salaire x primes x charges x date d’entrée</x:v>
      </x:c>
      <x:c r="F8" s="12" t="str">
        <x:v>Coût complet RH</x:v>
      </x:c>
      <x:c r="G8" s="12" t="str">
        <x:v>P0</x:v>
      </x:c>
      <x:c r="H8" s="12" t="str">
        <x:v>Corrigé</x:v>
      </x:c>
    </x:row>
    <x:row r="9">
      <x:c r="A9" s="12" t="str">
        <x:v>BFR</x:v>
      </x:c>
      <x:c r="B9" s="12" t="str">
        <x:v>Insuffisamment intégré</x:v>
      </x:c>
      <x:c r="C9" s="12" t="str">
        <x:v>Budget rentable mais sans cash</x:v>
      </x:c>
      <x:c r="D9" s="12" t="str">
        <x:v>Critique</x:v>
      </x:c>
      <x:c r="E9" s="12" t="str">
        <x:v>DSO/DPO/stock + variation BFR</x:v>
      </x:c>
      <x:c r="F9" s="12" t="str">
        <x:v>Pilotage trésorerie</x:v>
      </x:c>
      <x:c r="G9" s="12" t="str">
        <x:v>P0</x:v>
      </x:c>
      <x:c r="H9" s="12" t="str">
        <x:v>Ajouté</x:v>
      </x:c>
    </x:row>
    <x:row r="10">
      <x:c r="A10" s="12" t="str">
        <x:v>CAPEX</x:v>
      </x:c>
      <x:c r="B10" s="12" t="str">
        <x:v>Présent mais peu décisionnel</x:v>
      </x:c>
      <x:c r="C10" s="12" t="str">
        <x:v>Cash et D&amp;A déconnectés</x:v>
      </x:c>
      <x:c r="D10" s="12" t="str">
        <x:v>Élevé</x:v>
      </x:c>
      <x:c r="E10" s="12" t="str">
        <x:v>Projet + timing + durée + scénario</x:v>
      </x:c>
      <x:c r="F10" s="12" t="str">
        <x:v>Cash-out &amp; amortissements</x:v>
      </x:c>
      <x:c r="G10" s="12" t="str">
        <x:v>P1</x:v>
      </x:c>
      <x:c r="H10" s="12" t="str">
        <x:v>Corrigé</x:v>
      </x:c>
    </x:row>
    <x:row r="11">
      <x:c r="A11" s="12" t="str">
        <x:v>Fiscalité Maroc</x:v>
      </x:c>
      <x:c r="B11" s="12" t="str">
        <x:v>Modèle source générique USD</x:v>
      </x:c>
      <x:c r="C11" s="12" t="str">
        <x:v>Inadaptation locale</x:v>
      </x:c>
      <x:c r="D11" s="12" t="str">
        <x:v>Élevé</x:v>
      </x:c>
      <x:c r="E11" s="12" t="str">
        <x:v>MAD + TVA/IS/charges paramétrables</x:v>
      </x:c>
      <x:c r="F11" s="12" t="str">
        <x:v>Adaptation Maroc</x:v>
      </x:c>
      <x:c r="G11" s="12" t="str">
        <x:v>P0</x:v>
      </x:c>
      <x:c r="H11" s="12" t="str">
        <x:v>Ajouté</x:v>
      </x:c>
    </x:row>
    <x:row r="12">
      <x:c r="A12" s="12" t="str">
        <x:v>FX</x:v>
      </x:c>
      <x:c r="B12" s="12" t="str">
        <x:v>USD-centric</x:v>
      </x:c>
      <x:c r="C12" s="12" t="str">
        <x:v>Risque import/export masqué</x:v>
      </x:c>
      <x:c r="D12" s="12" t="str">
        <x:v>Moyen</x:v>
      </x:c>
      <x:c r="E12" s="12" t="str">
        <x:v>EUR/MAD et USD/MAD paramétrables</x:v>
      </x:c>
      <x:c r="F12" s="12" t="str">
        <x:v>Sensibilité change</x:v>
      </x:c>
      <x:c r="G12" s="12" t="str">
        <x:v>P1</x:v>
      </x:c>
      <x:c r="H12" s="12" t="str">
        <x:v>Ajouté</x:v>
      </x:c>
    </x:row>
    <x:row r="13">
      <x:c r="A13" s="12" t="str">
        <x:v>Analyse écarts</x:v>
      </x:c>
      <x:c r="B13" s="12" t="str">
        <x:v>Pivots descriptifs</x:v>
      </x:c>
      <x:c r="C13" s="12" t="str">
        <x:v>Peu orienté action</x:v>
      </x:c>
      <x:c r="D13" s="12" t="str">
        <x:v>Élevé</x:v>
      </x:c>
      <x:c r="E13" s="12" t="str">
        <x:v>Budget/Réalisé/Forecast/Cause/Action</x:v>
      </x:c>
      <x:c r="F13" s="12" t="str">
        <x:v>Management by exception</x:v>
      </x:c>
      <x:c r="G13" s="12" t="str">
        <x:v>P0</x:v>
      </x:c>
      <x:c r="H13" s="12" t="str">
        <x:v>Ajouté</x:v>
      </x:c>
    </x:row>
    <x:row r="14">
      <x:c r="A14" s="12" t="str">
        <x:v>Cockpit</x:v>
      </x:c>
      <x:c r="B14" s="12" t="str">
        <x:v>Absence de vraie couche décision</x:v>
      </x:c>
      <x:c r="C14" s="12" t="str">
        <x:v>Lecture longue</x:v>
      </x:c>
      <x:c r="D14" s="12" t="str">
        <x:v>Élevé</x:v>
      </x:c>
      <x:c r="E14" s="12" t="str">
        <x:v>KPI + seuil + statut + trajectoire</x:v>
      </x:c>
      <x:c r="F14" s="12" t="str">
        <x:v>Décision rapide</x:v>
      </x:c>
      <x:c r="G14" s="12" t="str">
        <x:v>P0</x:v>
      </x:c>
      <x:c r="H14" s="12" t="str">
        <x:v>Ajouté</x:v>
      </x:c>
    </x:row>
    <x:row r="15">
      <x:c r="A15" s="12" t="str">
        <x:v>Technique Excel</x:v>
      </x:c>
      <x:c r="B15" s="12" t="str">
        <x:v>Dimensions et formules lourdes dans certaines feuilles</x:v>
      </x:c>
      <x:c r="C15" s="12" t="str">
        <x:v>Performance / dette technique</x:v>
      </x:c>
      <x:c r="D15" s="12" t="str">
        <x:v>Élevé</x:v>
      </x:c>
      <x:c r="E15" s="12" t="str">
        <x:v>Modèle borné, tables claires, formules visibles</x:v>
      </x:c>
      <x:c r="F15" s="12" t="str">
        <x:v>Stabilité</x:v>
      </x:c>
      <x:c r="G15" s="12" t="str">
        <x:v>P1</x:v>
      </x:c>
      <x:c r="H15" s="12" t="str">
        <x:v>Corrigé</x:v>
      </x:c>
    </x:row>
    <x:row r="16">
      <x:c r="A16" s="12" t="str">
        <x:v>Gouvernance</x:v>
      </x:c>
      <x:c r="B16" s="12" t="str">
        <x:v>Peu de distinction editable/calcul</x:v>
      </x:c>
      <x:c r="C16" s="12" t="str">
        <x:v>Écrasement de formules</x:v>
      </x:c>
      <x:c r="D16" s="12" t="str">
        <x:v>Élevé</x:v>
      </x:c>
      <x:c r="E16" s="12" t="str">
        <x:v>Convention couleurs &amp; inputs dédiés</x:v>
      </x:c>
      <x:c r="F16" s="12" t="str">
        <x:v>Contrôle utilisateur</x:v>
      </x:c>
      <x:c r="G16" s="12" t="str">
        <x:v>P0</x:v>
      </x:c>
      <x:c r="H16" s="12" t="str">
        <x:v>Corrigé</x:v>
      </x:c>
    </x:row>
  </x:sheetData>
  <x:mergeCells>
    <x:mergeCell ref="A1:H1"/>
  </x:mergeCells>
  <x:pageMargins left="0.7" right="0.7" top="0.75" bottom="0.75" header="0.3" footer="0.3"/>
</x:worksheet>
</file>